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 hidePivotFieldList="1"/>
  <mc:AlternateContent xmlns:mc="http://schemas.openxmlformats.org/markup-compatibility/2006">
    <mc:Choice Requires="x15">
      <x15ac:absPath xmlns:x15ac="http://schemas.microsoft.com/office/spreadsheetml/2010/11/ac" url="C:\Users\en27553\Desktop\Remit_Centrali\src\"/>
    </mc:Choice>
  </mc:AlternateContent>
  <bookViews>
    <workbookView xWindow="0" yWindow="0" windowWidth="28800" windowHeight="15285"/>
  </bookViews>
  <sheets>
    <sheet name="Foglio1" sheetId="1" r:id="rId1"/>
  </sheets>
  <calcPr calcId="152511"/>
  <extLst>
    <ext xmlns:x15="http://schemas.microsoft.com/office/spreadsheetml/2010/11/main" uri="{841E416B-1EF1-43b6-AB56-02D37102CBD5}">
      <x15:pivotCaches>
        <pivotCache cacheId="61" r:id="rId2"/>
        <pivotCache cacheId="64" r:id="rId3"/>
        <pivotCache cacheId="67" r:id="rId4"/>
        <pivotCache cacheId="88" r:id="rId5"/>
        <pivotCache cacheId="94" r:id="rId6"/>
        <pivotCache cacheId="100" r:id="rId7"/>
        <pivotCache cacheId="103" r:id="rId8"/>
        <pivotCache cacheId="106" r:id="rId9"/>
      </x15:pivotCaches>
    </ext>
    <ext xmlns:x15="http://schemas.microsoft.com/office/spreadsheetml/2010/11/main" uri="{983426D0-5260-488c-9760-48F4B6AC55F4}">
      <x15:pivotTableReferences>
        <x15:pivotTableReference r:id="rId10"/>
        <x15:pivotTableReference r:id="rId11"/>
        <x15:pivotTableReference r:id="rId12"/>
        <x15:pivotTableReference r:id="rId13"/>
        <x15:pivotTableReference r:id="rId14"/>
        <x15:pivotTableReference r:id="rId15"/>
        <x15:pivotTableReference r:id="rId16"/>
        <x15:pivotTableReference r:id="rId17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otale_aafe6aff-f95d-4a85-9e60-6477b18903e7" name="Totale" connection="Query - Totale"/>
          <x15:modelTable id="Idrico_a789c650-7440-4489-a554-0399c8014f6f" name="Idrico" connection="Query - Idrico"/>
          <x15:modelTable id="Termico_b9a6cccd-b403-4933-806f-67a2488e46fd" name="Termico" connection="Query - Termico"/>
          <x15:modelTable id="Pompaggi_a4781364-c1d8-447e-9d55-f9efb4b966d6" name="Pompaggi" connection="Query - Pompaggi"/>
          <x15:modelTable id="Eolico_8e5273ed-4b43-4d78-8fbe-e0220b00f9eb" name="Eolico" connection="Query - Eolico"/>
          <x15:modelTable id="TotalePerZona_7a3a480b-540a-4528-8eda-e5f59d403f10" name="TotalePerZona" connection="Query - TotalePerZona"/>
          <x15:modelTable id="Oraria_99c3363e-3445-4693-bb96-2d6b82c9fef0" name="Oraria" connection="Query - Oraria"/>
          <x15:modelTable id="Giornaliera_083e26dc-130d-47e3-a66c-ed465521d6e7" name="Giornaliera" connection="Query - Giornaliera"/>
        </x15:modelTables>
        <x15:modelRelationships>
          <x15:modelRelationship fromTable="Idrico" fromColumn="dt_flusso" toTable="Totale" toColumn="dt_flusso"/>
          <x15:modelRelationship fromTable="Termico" fromColumn="dt_flusso" toTable="Totale" toColumn="dt_flusso"/>
          <x15:modelRelationship fromTable="Pompaggi" fromColumn="dt_flusso" toTable="Totale" toColumn="dt_flusso"/>
          <x15:modelRelationship fromTable="Eolico" fromColumn="dt_flusso" toTable="Totale" toColumn="dt_flusso"/>
        </x15:modelRelationships>
      </x15:dataModel>
    </ext>
  </extLst>
</workbook>
</file>

<file path=xl/calcChain.xml><?xml version="1.0" encoding="utf-8"?>
<calcChain xmlns="http://schemas.openxmlformats.org/spreadsheetml/2006/main">
  <c r="R14" i="1" l="1"/>
  <c r="R9" i="1"/>
  <c r="S14" i="1" l="1"/>
  <c r="S9" i="1"/>
</calcChain>
</file>

<file path=xl/connections.xml><?xml version="1.0" encoding="utf-8"?>
<connections xmlns="http://schemas.openxmlformats.org/spreadsheetml/2006/main">
  <connection id="1" name="Query - Eolico" description="Connessione alla query 'Eolico' nella cartella di lavoro." type="100" refreshedVersion="5" minRefreshableVersion="5">
    <extLst>
      <ext xmlns:x15="http://schemas.microsoft.com/office/spreadsheetml/2010/11/main" uri="{DE250136-89BD-433C-8126-D09CA5730AF9}">
        <x15:connection id="81a85943-5ca5-48cc-af5f-afe941dc8360">
          <x15:oledbPr connection="provider=Microsoft.Mashup.OleDb.1;data source=$EmbeddedMashup(7925427f-88f2-4730-b4e6-56f01d90e7d8)$;location=Eolico;extended properties=&quot;UEsDBBQAAgAIAO+jrUzjslDcrAAAAPsAAAASABwAQ29uZmlnL1BhY2thZ2UueG1sIKIYACigFAAAAAAAAAAAAAAAAAAAAAAAAAAAAIWPzwqCQBjEX0X27rd/zCj5XA+dgoSgiK6Lbrqka+iavluHHqlXKCijW7eZYX4w87jdMRnryrvqtjONjQkHRjxtsyY3tohJ707+giQStyo7q0J7r7LtorEzMSmdu0SUDsMAQwBNW1DBGKfHdLPLSl0r39jOKZtp8qXy/xSReHiPkQLCEELGGfAZE0inHFNjJ80hhEAs58CQ/sS46ivXt1oa56/3SCeL9HNEPgFQSwMEFAACAAgA76Ot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+jrUwUblgh5AIAAIEHAAATABwARm9ybXVsYXMvU2VjdGlvbjEubSCiGAAooBQAAAAAAAAAAAAAAAAAAAAAAAAAAACVVF1v2jAUfUfiP1jZS5CiqKXrJq3LpApoV2ltN+i0h4Aik1zAwrEj22GliP++m4+WUIPQeHG4n+fY514NsWFSkFF1nl+1W+2WXlAFCRk8Z1IZEhAOpkXw96jYnAlAS0+v/L6M8xSEcW8YB78nhcE/2nV6X8a/NSg9BtH9fHl5Me6DXhqZjYeQMhP1MEpRzsZaxeNYr8ZQtvHx0+l4YR84wzBQgeM5HulJnqdCBxdnHhmIWCZMzIPz7mXXI79yaWBk1hyC3af/IAVMOl6J94Nzh6C0oS9IjRHKX6gBkjDC2Qo4lw4yeaJTzPqpZIolvgNNELlbE/VIWDuuOR/FlFOlA6PyRoN7RDRjMTWSGJY1Kj4pKvRMqrRi8LTOQLsnAXmbjZOYKM8S5G4whyQYsfUImqNpImcqMejBKp8++kXNymWiGc+1lnaSiUDYtRYyV3YZMLsKBp5NaZzlwKPCZHlyQVeUcTplnJn14ZhYphkVa8ueRSkTNgI002fbvIpUIZ1D8QnTmW3HGzY2lXixPBKf6nnEkr2EbafFxJFHbg7JPSSM3jKpBGoaFB3gJVYj0343M9U4ee266JDO5yrPskIBGLOAnXZulcyznQj3H/j1mZwSCp4vUlCnoLFxSjCDyg80XpAfTBv/eoW45uCG9T2ieiuiIk+noJBqG7kex7W3EyRnsbR3Qr8ILzjGwP1erhRO+R+pllMpl25nEz7QFAJHA8c9ExU6jFJcGAtnsg3rzTE5MFI3OD/F2WhyYsIakcUsoRCUseT/fiS29TiX0SU6bHISyOZsG5YZNXKs+l+5GF9n7jRySE2v94JrFhenrZZRealD+bext8rHD99kMyHfgiY7KpI979fgDf3bZjupTwuRpdRSoZUyK93syXKUp274plhblEeBdA9yP4S4bueGBZIJZjmDxx93vUenU1e/VkoaKZLifY7o6mDlbrmp90k9lMD9ocxF4kYeObMYvW6URterf1BLAQItABQAAgAIAO+jrUzjslDcrAAAAPsAAAASAAAAAAAAAAAAAAAAAAAAAABDb25maWcvUGFja2FnZS54bWxQSwECLQAUAAIACADvo61MD8rpq6QAAADpAAAAEwAAAAAAAAAAAAAAAAD4AAAAW0NvbnRlbnRfVHlwZXNdLnhtbFBLAQItABQAAgAIAO+jrUwUblgh5AIAAIEHAAATAAAAAAAAAAAAAAAAAOkBAABGb3JtdWxhcy9TZWN0aW9uMS5tUEsFBgAAAAADAAMAwgAAABoFAAAAAA==&quot;">
            <x15:dbTables>
              <x15:dbTable name="Eolico"/>
            </x15:dbTables>
          </x15:oledbPr>
        </x15:connection>
      </ext>
    </extLst>
  </connection>
  <connection id="2" name="Query - Export" description="Connessione alla query 'Export' nella cartella di lavoro." type="5" refreshedVersion="0" background="1">
    <dbPr connection="provider=Microsoft.Mashup.OleDb.1;data source=$EmbeddedMashup(7925427f-88f2-4730-b4e6-56f01d90e7d8)$;location=Export;extended properties=&quot;UEsDBBQAAgAIAO+jrUzjslDcrAAAAPsAAAASABwAQ29uZmlnL1BhY2thZ2UueG1sIKIYACigFAAAAAAAAAAAAAAAAAAAAAAAAAAAAIWPzwqCQBjEX0X27rd/zCj5XA+dgoSgiK6Lbrqka+iavluHHqlXKCijW7eZYX4w87jdMRnryrvqtjONjQkHRjxtsyY3tohJ707+giQStyo7q0J7r7LtorEzMSmdu0SUDsMAQwBNW1DBGKfHdLPLSl0r39jOKZtp8qXy/xSReHiPkQLCEELGGfAZE0inHFNjJ80hhEAs58CQ/sS46ivXt1oa56/3SCeL9HNEPgFQSwMEFAACAAgA76Ot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+jrUxGZN/UlQEAADYDAAATABwARm9ybXVsYXMvU2VjdGlvbjEubSCiGAAooBQAAAAAAAAAAAAAAAAAAAAAAAAAAACFUk1rGzEQvRvyH8T2YsOyNE7dQsMeyjohPfQjsXvKFiFLs/YQrbRIo8VOyH/P2A4kZROqi6Q3b57ekxRBE3onFsf59PxkdDKKGxXAiItt5wOJUligkeDxK+AaHTBSxb6Ye51acDS+RAtF5R3xJo6z6mv9J0KINbjpl9nsrJ5DvCPf1TfQIsmKWUFZrGPQtY59DYdjCl5mk/x2DhaZBqHM8iwXlbepdbE8+5iLC6e9QbcuT6ezaS6ukydY0M5C+bIsfnoHfyf5we+H7DubiqTuORoKZe8VgTAoLPZgrc84yVKtuOt38C1LXIEy7Hz8HDQXt8+Fb9YutLIqxJJCenXAD3bUoFbkBWH3SnEZlIuND+0xwXLXQRz/11D+8JAZkqkznJ24RxhmPOaCYbkyvgmGuMIqnz8Ve81jiWRjU4x+2EQS3FBr41MYygC9KBBs6QA2CazcQ4NKcqpXaNUKLdLubY72bafcboB3skU3dMCw2g7hXob913mLbzB2Q5xvmIZR9ObuHX4b1xLNPw2PkxG6dx75/AlQSwECLQAUAAIACADvo61M47JQ3KwAAAD7AAAAEgAAAAAAAAAAAAAAAAAAAAAAQ29uZmlnL1BhY2thZ2UueG1sUEsBAi0AFAACAAgA76OtTA/K6aukAAAA6QAAABMAAAAAAAAAAAAAAAAA+AAAAFtDb250ZW50X1R5cGVzXS54bWxQSwECLQAUAAIACADvo61MRmTf1JUBAAA2AwAAEwAAAAAAAAAAAAAAAADpAQAARm9ybXVsYXMvU2VjdGlvbjEubVBLBQYAAAAAAwADAMIAAADLAwAAAAA=&quot;" command="SELECT * FROM [Export]"/>
  </connection>
  <connection id="3" name="Query - Giornaliera" description="Connessione alla query 'Giornaliera' nella cartella di lavoro." type="100" refreshedVersion="5" minRefreshableVersion="5">
    <extLst>
      <ext xmlns:x15="http://schemas.microsoft.com/office/spreadsheetml/2010/11/main" uri="{DE250136-89BD-433C-8126-D09CA5730AF9}">
        <x15:connection id="715c0569-f080-4c53-81b7-72c82cb659be">
          <x15:oledbPr connection="provider=Microsoft.Mashup.OleDb.1;data source=$EmbeddedMashup(7925427f-88f2-4730-b4e6-56f01d90e7d8)$;location=Giornaliera;extended properties=&quot;UEsDBBQAAgAIAO+jrUzjslDcrAAAAPsAAAASABwAQ29uZmlnL1BhY2thZ2UueG1sIKIYACigFAAAAAAAAAAAAAAAAAAAAAAAAAAAAIWPzwqCQBjEX0X27rd/zCj5XA+dgoSgiK6Lbrqka+iavluHHqlXKCijW7eZYX4w87jdMRnryrvqtjONjQkHRjxtsyY3tohJ707+giQStyo7q0J7r7LtorEzMSmdu0SUDsMAQwBNW1DBGKfHdLPLSl0r39jOKZtp8qXy/xSReHiPkQLCEELGGfAZE0inHFNjJ80hhEAs58CQ/sS46ivXt1oa56/3SCeL9HNEPgFQSwMEFAACAAgA76Ot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+jrUwjzcMkygIAACMHAAATABwARm9ybXVsYXMvU2VjdGlvbjEubSCiGAAooBQAAAAAAAAAAAAAAAAAAAAAAAAAAACVVF1v2jAUfUfiP1jZS5CiqB/rJq3LpApoN2llG3TaQ0CRSS5g4diR7bBSxH/fzQeQ1iA0Hkhyfe/1OfY5V0NsmBRkVD0vb9utdksvqIKE9J8zqQwJCAfTIvj7odicCcBIV6/8nozzFIRx7xkHvyuFwQ/tOt1P498alB6DuPp4c3M97oFeGpmNh5AyE3UxS1HOxlrF41ivxlBu4+Or0/HCHnCGaaACx3M80pU8T4UOri880hexTJiYB5dXN1ce+ZVLAyOz5hAcXv2BFDDpeCXed843BKUNfUFqjFD+Qg2QhBHOVsC5dJDJE51i1U8lU2zxFWiCyN2aqEfCeuGO81FMOVU6MCpvbPCIiGYspkYSw7JGxydFhZ5JlVYMntYZaPcsIG+zcRIT5VmC3A3WkAQzth7BcDRN5EwlBlewy4f3ftGzWjLRjOdaS7vIRCDsXguZK7sNmEMHA8+mDM5y4FERslZyQVeUcTplnJn18ZxYphkVayueRSkTNgIM02c7vIpUIZ1j+QnTmR3HEzY2lXixPJGf6nnEklcF206LiROX3DTJIySMPjCpBGoaFO3jIVaWab/xTGUnr103HdL5XOVZVigAcxZw0M6Dknl2EOHrC95dk1NCweeLFNQpaGycEky/WgcaL8h3po1/t0Jcc3DD+hxRvRVRkadTUEi1jVxP42rSbTC1B0OvqCmIxsD9bq4UWv2PVMuplEu3swkHNIXA0cBx2ESFGPFv7Uy2YT08JkdcdY8WKp6NLc6YrJFZ2Am1oIzlgLeu2NaOLrNLbLjJWSCbi21YVtTIset/1WJ+XXmQyTFB7c4FJy3OTlswo/JIh/JvY3SV9x/ulTMhX4ImOyqSV6ufgz36/XA7K1ELkSXWUqSVOHcePghzlKduuNesLcsKx51S0kiRFAd44uKLyWqD9d5uOigb+0OZi8SNPHJh7bjzfGPP239QSwECLQAUAAIACADvo61M47JQ3KwAAAD7AAAAEgAAAAAAAAAAAAAAAAAAAAAAQ29uZmlnL1BhY2thZ2UueG1sUEsBAi0AFAACAAgA76OtTA/K6aukAAAA6QAAABMAAAAAAAAAAAAAAAAA+AAAAFtDb250ZW50X1R5cGVzXS54bWxQSwECLQAUAAIACADvo61MI83DJMoCAAAjBwAAEwAAAAAAAAAAAAAAAADpAQAARm9ybXVsYXMvU2VjdGlvbjEubVBLBQYAAAAAAwADAMIAAAAABQAAAAA=&quot;">
            <x15:dbTables>
              <x15:dbTable name="Giornaliera"/>
            </x15:dbTables>
          </x15:oledbPr>
        </x15:connection>
      </ext>
    </extLst>
  </connection>
  <connection id="4" name="Query - Idrico" description="Connessione alla query 'Idrico' nella cartella di lavoro." type="100" refreshedVersion="5" minRefreshableVersion="5">
    <extLst>
      <ext xmlns:x15="http://schemas.microsoft.com/office/spreadsheetml/2010/11/main" uri="{DE250136-89BD-433C-8126-D09CA5730AF9}">
        <x15:connection id="c0d70167-f40a-4f2d-beb1-ccb155030863">
          <x15:oledbPr connection="provider=Microsoft.Mashup.OleDb.1;data source=$EmbeddedMashup(7925427f-88f2-4730-b4e6-56f01d90e7d8)$;location=Idrico;extended properties=&quot;UEsDBBQAAgAIAO+jrUzjslDcrAAAAPsAAAASABwAQ29uZmlnL1BhY2thZ2UueG1sIKIYACigFAAAAAAAAAAAAAAAAAAAAAAAAAAAAIWPzwqCQBjEX0X27rd/zCj5XA+dgoSgiK6Lbrqka+iavluHHqlXKCijW7eZYX4w87jdMRnryrvqtjONjQkHRjxtsyY3tohJ707+giQStyo7q0J7r7LtorEzMSmdu0SUDsMAQwBNW1DBGKfHdLPLSl0r39jOKZtp8qXy/xSReHiPkQLCEELGGfAZE0inHFNjJ80hhEAs58CQ/sS46ivXt1oa56/3SCeL9HNEPgFQSwMEFAACAAgA76Ot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+jrUzd5et65AIAAIEHAAATABwARm9ybXVsYXMvU2VjdGlvbjEubSCiGAAooBQAAAAAAAAAAAAAAAAAAAAAAAAAAACVVF1v2jAUfUfiP1jZS5Ai1NJ1k9ZlUgW0Q1rbDTrtIaDIJBewcOzIdlgp4r/v5qMQahAaLw738xz73KshMkwKMirPy5tmo9nQC6ogJv2XVCpDfMLBNAj+nhSbMwFo6epVuyejLAFh3DvGod2VwuAf7TrdL+PfGpQeg+h8vr6+GvdAL41Mx0NImAm7GKUoZ2OtonGkV2Mo2rTx02l5QQ84wzBQvuM5HulKniVC+1cXHumLSMZMzP3LznXHI78yaWBk1hz8/Wf7UQqYtLwC7wdngKC0oa9IjRHKX6kBEjPC2Qo4lw4yeaZTzPqpZIIlvgONEblbEfVIUDluOR9FlFOlfaOyWoMHRDRjETWSGJbWKj4rKvRMqqRk8LxOQbtnAXmbjRObMEtj5G4wh8QYsfUImsNpLGcqNujBKp8+tvOapcuEM55pLe0kE4Kway1kpuwyYPYVDLyYwjjLgIe5yfJkgq4o43TKODPr4zGRTFIq1pY9DRMmbARopi+2eRWqXDrH4mOmU9uON2xsKtFieSI+0fOQxQcJ21aDiROPXB+SB4gZvWdSCdQ0KNrHSyxHpvluZspx8ppV0SGdz1WWprkCMGYBe+3cK5mlexEePvDbMzkFFDxfpaBOTmPjFGD6pR9otCA/mDbt2xXimoMbVPeI6i2JiiyZgkKqTeR6Gled7iBWLJL2Tujl4TnHCHi7mymFU/5HquVUyqXb2gSPNAHf0cBxz4S5DsMEF8bCmWyDanNMjozUHc5PftaanJmwWmQ+SygEZSz5vx+JbTXORXSBDpucBbK52AZFRoUcq/5XLsZXmXuNHFPT273gmsXFaatlVFzqUP6t7a3i8YOdbCbkm19nR0V84P3q79DvNttZfVqILKUWCi2VWermQJajLHGDnWJtUZ4E0jnK/Rjiqp0b5EgmmOUMesNB98lpVdVvlZJGijh/nxO6Olq5U2zqQ1KPBfD2UGYidkOPXFiM3jZKrevNP1BLAQItABQAAgAIAO+jrUzjslDcrAAAAPsAAAASAAAAAAAAAAAAAAAAAAAAAABDb25maWcvUGFja2FnZS54bWxQSwECLQAUAAIACADvo61MD8rpq6QAAADpAAAAEwAAAAAAAAAAAAAAAAD4AAAAW0NvbnRlbnRfVHlwZXNdLnhtbFBLAQItABQAAgAIAO+jrUzd5et65AIAAIEHAAATAAAAAAAAAAAAAAAAAOkBAABGb3JtdWxhcy9TZWN0aW9uMS5tUEsFBgAAAAADAAMAwgAAABoFAAAAAA==&quot;">
            <x15:dbTables>
              <x15:dbTable name="Idrico"/>
            </x15:dbTables>
          </x15:oledbPr>
        </x15:connection>
      </ext>
    </extLst>
  </connection>
  <connection id="5" name="Query - MediaGiornalieraEtso" description="Connessione alla query 'MediaGiornalieraEtso' nella cartella di lavoro." type="5" refreshedVersion="0" background="1">
    <dbPr connection="provider=Microsoft.Mashup.OleDb.1;data source=$EmbeddedMashup(7925427f-88f2-4730-b4e6-56f01d90e7d8)$;location=MediaGiornalieraEtso;extended properties=&quot;UEsDBBQAAgAIAPGjrUzjslDcrAAAAPsAAAASABwAQ29uZmlnL1BhY2thZ2UueG1sIKIYACigFAAAAAAAAAAAAAAAAAAAAAAAAAAAAIWPzwqCQBjEX0X27rd/zCj5XA+dgoSgiK6Lbrqka+iavluHHqlXKCijW7eZYX4w87jdMRnryrvqtjONjQkHRjxtsyY3tohJ707+giQStyo7q0J7r7LtorEzMSmdu0SUDsMAQwBNW1DBGKfHdLPLSl0r39jOKZtp8qXy/xSReHiPkQLCEELGGfAZE0inHFNjJ80hhEAs58CQ/sS46ivXt1oa56/3SCeL9HNEPgFQSwMEFAACAAgA8aOt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PGjrUwLZNjU+gEAACUEAAATABwARm9ybXVsYXMvU2VjdGlvbjEubSCiGAAooBQAAAAAAAAAAAAAAAAAAAAAAAAAAACFU02P2jAQvSPxH6z0AlKEumxppa5yWAHdVur2Y6EnUkUmHsJoHTuyxxGw2v/egVDBNouai503M8/v2TMeckJrxKxZr266nW7Hr6UDJaabyjoSidBAHcHfd4cFGmBk7OvBxOahBEO9T6hhMLaG+Mf3ovHH9JcH51Mwww+j0XU6Af9ItkofoETKxpzlpMbUuzzNfZ3C4ZgBb6N+vJiARk4Dl0RxFIux1aE0Prl+G4upya1CUyRXw9EwFj+DJZjRVkNy2g6+WQO/+/FB75voC4vyJHdsDYXUO0kgFAqNNWhtI3Yyl0uu+uFsyRSfQSpW3jsajcXiGLjVepZLLZ1PyIWzA+5Z0QpzSVYQVmeMcyeNX1lXNg7m2wp877+C4qenSFEWKsXeiWuE4oznWDCcLZVdOUUcYZb37wZ7ziZE2UoH7227iDIwba61Da5NA3RiINjQAVwF0NkeakWCkbVELZeokbav5+S2rKTZtvAqK9G0FTAsN224zty+dV7LV+irNs43TG0r+frxQn7piwzVi4LnfgfNhUc+H5J7UCjv0DrDPQ1OTvkSm5Hp/jMzzTjF3SPpgywKF6pq3wGcs4ZT79w5G6pTE7584L/PFB2k8LqzRkZ7G0/RQcy0iYPM1+Irehrc1qyrgN7ieI/cvY1RE8olOLbaZa+Xdd38AVBLAQItABQAAgAIAPGjrUzjslDcrAAAAPsAAAASAAAAAAAAAAAAAAAAAAAAAABDb25maWcvUGFja2FnZS54bWxQSwECLQAUAAIACADxo61MD8rpq6QAAADpAAAAEwAAAAAAAAAAAAAAAAD4AAAAW0NvbnRlbnRfVHlwZXNdLnhtbFBLAQItABQAAgAIAPGjrUwLZNjU+gEAACUEAAATAAAAAAAAAAAAAAAAAOkBAABGb3JtdWxhcy9TZWN0aW9uMS5tUEsFBgAAAAADAAMAwgAAADAEAAAAAA==&quot;" command="SELECT * FROM [MediaGiornalieraEtso]"/>
  </connection>
  <connection id="6" name="Query - Oraria" description="Connessione alla query 'Oraria' nella cartella di lavoro." type="100" refreshedVersion="5" minRefreshableVersion="5">
    <extLst>
      <ext xmlns:x15="http://schemas.microsoft.com/office/spreadsheetml/2010/11/main" uri="{DE250136-89BD-433C-8126-D09CA5730AF9}">
        <x15:connection id="c325f84b-5c9d-4735-8380-a4bcc437765b">
          <x15:oledbPr connection="provider=Microsoft.Mashup.OleDb.1;data source=$EmbeddedMashup(7925427f-88f2-4730-b4e6-56f01d90e7d8)$;location=Oraria;extended properties=UEsDBBQAAgAIAO+jrUzjslDcrAAAAPsAAAASABwAQ29uZmlnL1BhY2thZ2UueG1sIKIYACigFAAAAAAAAAAAAAAAAAAAAAAAAAAAAIWPzwqCQBjEX0X27rd/zCj5XA+dgoSgiK6Lbrqka+iavluHHqlXKCijW7eZYX4w87jdMRnryrvqtjONjQkHRjxtsyY3tohJ707+giQStyo7q0J7r7LtorEzMSmdu0SUDsMAQwBNW1DBGKfHdLPLSl0r39jOKZtp8qXy/xSReHiPkQLCEELGGfAZE0inHFNjJ80hhEAs58CQ/sS46ivXt1oa56/3SCeL9HNEPgFQSwMEFAACAAgA76Ot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+jrUxqLpnvcQIAAMkFAAATABwARm9ybXVsYXMvU2VjdGlvbjEubSCiGAAooBQAAAAAAAAAAAAAAAAAAAAAAAAAAACVVNtq20AQfTfkHxb1RQYhcmlaaKpCsZO20CZtnNIHyYi1NLYXr3bF7qwbx/jfO5IVR4kcTPUiaW57ZuactZCh0IqNtu+Ti6PeUc/OuYGcXd6X2iCLmATsMXpujJgJBWQZ2GU41JkrQKF/JSSEA62QfqzvDT4kvy0Ym4A6fX9+fpYMwS5Ql8ktFALTAUUZLkViTZZkdplAfUxIn14/iIcgBYWBibzAC9hAS1coG50dB+xSZToXahadnJ6fBuyX0wgjXEmInj7Da61g3A9qvG+8bwTKIn+g1gTj8oEjsFwwKZYgpfaokzs+oayfRhdU4ivwnJD7TaMBixvHZylHGZfc2AiNax3wgxBNRcZRMxRlq+Kd4cpOtSm2HdytSrD+QUDBeu3lmLoyp96RclhOEZuAkTmd5HpqciQPVXn3Nqxqbl2YTqWzVneTMAXVrTXXznTLAD5VQLjH2jh1INPK1PE4xZdcSD4RUuBqf0ymi5KrVcdepoVQXQRk5vdd8zI1FXX2xefCll07TRi7rWTzxSvxhZ2lIn+WsOn3hHplyW2R3BhuBN+KpIpuC2VYbTciHWUgw4Ezhqj/R5vFROuF31/H17yAyLMgSXxptZxUG+6NN3EjpvEell0Rpap364gDpGtFVvSi2RjsMOIlSzYNw+voGhsdchDI+ngT1xkNcqr6X7kU32Q+XTXbW+hxEnTX0O1BFck/b3U+qod4q/+2xAs8m7N4J44x+xS1++Eqf+b9GO3w7uR9y2cz48pyz4lfjHal30H0Uo+PWvNq5lSzXns1m6tdE3O8Bud3YTEcucKPG7bTHbPdh3LFBMwzQnZhXfwDUEsBAi0AFAACAAgA76OtTOOyUNysAAAA+wAAABIAAAAAAAAAAAAAAAAAAAAAAENvbmZpZy9QYWNrYWdlLnhtbFBLAQItABQAAgAIAO+jrUwPyumrpAAAAOkAAAATAAAAAAAAAAAAAAAAAPgAAABbQ29udGVudF9UeXBlc10ueG1sUEsBAi0AFAACAAgA76OtTGoume9xAgAAyQUAABMAAAAAAAAAAAAAAAAA6QEAAEZvcm11bGFzL1NlY3Rpb24xLm1QSwUGAAAAAAMAAwDCAAAApwQAAAAA">
            <x15:dbTables>
              <x15:dbTable name="Oraria"/>
            </x15:dbTables>
          </x15:oledbPr>
        </x15:connection>
      </ext>
    </extLst>
  </connection>
  <connection id="7" name="Query - Pompaggi" description="Connessione alla query 'Pompaggi' nella cartella di lavoro." type="100" refreshedVersion="5" minRefreshableVersion="5">
    <extLst>
      <ext xmlns:x15="http://schemas.microsoft.com/office/spreadsheetml/2010/11/main" uri="{DE250136-89BD-433C-8126-D09CA5730AF9}">
        <x15:connection id="21f54408-e27c-4074-bb84-b9bb4a41e3a6">
          <x15:oledbPr connection="provider=Microsoft.Mashup.OleDb.1;data source=$EmbeddedMashup(7925427f-88f2-4730-b4e6-56f01d90e7d8)$;location=Pompaggi;extended properties=UEsDBBQAAgAIAO+jrUzjslDcrAAAAPsAAAASABwAQ29uZmlnL1BhY2thZ2UueG1sIKIYACigFAAAAAAAAAAAAAAAAAAAAAAAAAAAAIWPzwqCQBjEX0X27rd/zCj5XA+dgoSgiK6Lbrqka+iavluHHqlXKCijW7eZYX4w87jdMRnryrvqtjONjQkHRjxtsyY3tohJ707+giQStyo7q0J7r7LtorEzMSmdu0SUDsMAQwBNW1DBGKfHdLPLSl0r39jOKZtp8qXy/xSReHiPkQLCEELGGfAZE0inHFNjJ80hhEAs58CQ/sS46ivXt1oa56/3SCeL9HNEPgFQSwMEFAACAAgA76Ot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+jrUy9lQvi6QIAAIoHAAATABwARm9ybXVsYXMvU2VjdGlvbjEubSCiGAAooBQAAAAAAAAAAAAAAAAAAAAAAAAAAACVVF1v2jAUfa/Ef7CylyBFUUvXTVqXSQgom7S2DDrtIaDIJBewcOzIdlgp4r/v5gMIDQiNF4f7eY597tUQGiYFGRXnzX3jqnGlF1RBRHqviVSGeISDuSL4e1ZszgSgpaNXbleGaQzC2A+Mg9uRwuAfbVudL+PfGpQeg2h9vru7HXdBL41MxkOImQk6GKUoZ2OtwnGoV2PI27j4aTUdvwucYRgoz3Ish3QkT2Ohvdtrh/REKCMm5t5N667lkF+pNDAyaw7e4dN9kgImTSfH+8H6gaC0oW9IjRHK36gBEjHC2Qo4lxYyeaFTzBooGWOJ70AjRG6XRB3il44256OQcqq0Z1RaafCIiGYspEYSw5JKxRdFhZ5JFRcMXtYJaPsiIGezsSITpEmE3A3mkAgjtg5BczCN5ExFBj1Y5dNHN6tZuEww46nWsp5kAhD1WguZqnoZMIcKBl5NbpylwIPMVPOkgq4o43TKODPr0zGhjBMq1jV7EsRM1BGgmb7WzatAZdI5FR8xndTteMOmTiVcLM/Ex3oesOgoYdu8YuLMI1eH5BEiRvtMKoGaBkV7eInFyDTezUwxTk6jLDqk87lKkyRTAMYs4KCdvpJpchDh8QPvnsnKoeD5JgW1MhobKwfTK/xAwwX5ybRx2yvENQfbL+8R1VsQFWk8BYVUG8j1PK4q3UH2oPM5q2+FbpaQsQyBu51UKZzzP1Itp1Iu7ebGf6IxeJYGjpsmyJQYxLgyFtZk65e7Y3JiqB5wgrKz0uTCjFUis2lCKShTG4D3Q7EtBzqPztFhk4tANtdbP88okWPV/8rF+DLzoJJTetrdCy5aXJ11vYzySx3Kv5XNlT+/vxfOhHzzquyoiI68X709+v1uu6jQGqKaVnONFtrcKedImqM0tv29auvCPAuldZL9KcxlO9vPsEwwyxo8Pw7a/f6PZ6tZNmgrJY0UUfZIZ8R1sngrX9jvmT3l6N2hTEVkBw65rtHarZZK3/t/UEsBAi0AFAACAAgA76OtTOOyUNysAAAA+wAAABIAAAAAAAAAAAAAAAAAAAAAAENvbmZpZy9QYWNrYWdlLnhtbFBLAQItABQAAgAIAO+jrUwPyumrpAAAAOkAAAATAAAAAAAAAAAAAAAAAPgAAABbQ29udGVudF9UeXBlc10ueG1sUEsBAi0AFAACAAgA76OtTL2VC+LpAgAAigcAABMAAAAAAAAAAAAAAAAA6QEAAEZvcm11bGFzL1NlY3Rpb24xLm1QSwUGAAAAAAMAAwDCAAAAHwUAAAAA">
            <x15:dbTables>
              <x15:dbTable name="Pompaggi"/>
            </x15:dbTables>
          </x15:oledbPr>
        </x15:connection>
      </ext>
    </extLst>
  </connection>
  <connection id="8" name="Query - Termico" description="Connessione alla query 'Termico' nella cartella di lavoro." type="100" refreshedVersion="5" minRefreshableVersion="5">
    <extLst>
      <ext xmlns:x15="http://schemas.microsoft.com/office/spreadsheetml/2010/11/main" uri="{DE250136-89BD-433C-8126-D09CA5730AF9}">
        <x15:connection id="628e4586-29e3-40c4-a037-5c820e1c6ff9">
          <x15:oledbPr connection="provider=Microsoft.Mashup.OleDb.1;data source=$EmbeddedMashup(7925427f-88f2-4730-b4e6-56f01d90e7d8)$;location=Termico;extended properties=UEsDBBQAAgAIAO+jrUzjslDcrAAAAPsAAAASABwAQ29uZmlnL1BhY2thZ2UueG1sIKIYACigFAAAAAAAAAAAAAAAAAAAAAAAAAAAAIWPzwqCQBjEX0X27rd/zCj5XA+dgoSgiK6Lbrqka+iavluHHqlXKCijW7eZYX4w87jdMRnryrvqtjONjQkHRjxtsyY3tohJ707+giQStyo7q0J7r7LtorEzMSmdu0SUDsMAQwBNW1DBGKfHdLPLSl0r39jOKZtp8qXy/xSReHiPkQLCEELGGfAZE0inHFNjJ80hhEAs58CQ/sS46ivXt1oa56/3SCeL9HNEPgFQSwMEFAACAAgA76Ot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+jrUwO/sdr5gIAAIEHAAATABwARm9ybXVsYXMvU2VjdGlvbjEubSCiGAAooBQAAAAAAAAAAAAAAAAAAAAAAAAAAACVVF1v2jAUfa/Ef7CylyBFqKXrJq3LpApoV2ltN2DaQ0CRSS5g4diR7bBSxH/fzQcQahAaLw738xz73KshMkwKMijPq9vGReNCz6mCmPReU6kM8QkHc0Hw96LYjAlAS0cvW10ZZQkI494zDq2OFAb/aNfpfBn91qD0CET7883N9agLemFkOupDwkzYwShFORtpFY0ivRxB0aaFn07TC7rAGYaB8h3P8UhH8iwR2r++9EhPRDJmYuZftW/aHvmVSQMDs+Lg7z9bz1LAuOkVeD84jwhKG/qG1Bih/I0aIDEjnC2Bc+kgkyGdYNZPJRMs8R1ojMjdiqhHgspxx/kgopwq7RuV1Ro8IaIpi6iRxLC0VnGoqNBTqZKSwXCVgnbPAvLWayc2YZbGyN1gDokxYuMRNIeTWE5VbNCDVT59bOU1S5cJpzzTWtpJJgRh15rLTNllwOwrGHg1hXGaAQ9zk+XJBF1SxumEcWZWx2MimaRUrCx7GiZM2AjQTF9t8zJUuXSOxcdMp7Ydb9jYVKL54kR8omchiw8SNs0LJk48cn1IniBm9IFJJVDToGgPL7Ecmca7mSnHyWtURft0NlNZmuYKwJg57LXzoGSW7kV4+MDbZ3IKKHi+SUGdnMbaKcD0Sj/QaE5+MG1ad0vENQM3qO4R1VsSFVkyAYVUG8j1NK463SGohEXSXgrdPD4nGQFvdTKlcMz/SLWYSLlwm+vgmSbgOxo4LpowF2KY4MaYO+NNUK2O8ZGZuscBys9akzMjVovMhwmVoIyl//czsanmuYgu0GGTs0DWl5ugyKiQY9X/ysX4KnMvkmNy2t4L7lncnLZcBsWl9uXf2uIqXj/Y6WZMvvl1dlTEB96v/g79brWdFaiFyJJqIdFSmpVwDoQ5yBI32GnWlqWFpOzTPkr9GOCqmRvkQMaY5Qx7/afHzovTrIrfKSWNFHH+Pid0dVB6i8CzKT0XsFt9mYnYDT1yafHZbpRa09t/UEsBAi0AFAACAAgA76OtTOOyUNysAAAA+wAAABIAAAAAAAAAAAAAAAAAAAAAAENvbmZpZy9QYWNrYWdlLnhtbFBLAQItABQAAgAIAO+jrUwPyumrpAAAAOkAAAATAAAAAAAAAAAAAAAAAPgAAABbQ29udGVudF9UeXBlc10ueG1sUEsBAi0AFAACAAgA76OtTA7+x2vmAgAAgQcAABMAAAAAAAAAAAAAAAAA6QEAAEZvcm11bGFzL1NlY3Rpb24xLm1QSwUGAAAAAAMAAwDCAAAAHAUAAAAA">
            <x15:dbTables>
              <x15:dbTable name="Termico"/>
            </x15:dbTables>
          </x15:oledbPr>
        </x15:connection>
      </ext>
    </extLst>
  </connection>
  <connection id="9" name="Query - Totale" description="Connessione alla query 'Totale' nella cartella di lavoro." type="100" refreshedVersion="5" minRefreshableVersion="5">
    <extLst>
      <ext xmlns:x15="http://schemas.microsoft.com/office/spreadsheetml/2010/11/main" uri="{DE250136-89BD-433C-8126-D09CA5730AF9}">
        <x15:connection id="42a21f4d-9f8e-4998-beaa-84fd1443dfe4">
          <x15:oledbPr connection="provider=Microsoft.Mashup.OleDb.1;data source=$EmbeddedMashup(7925427f-88f2-4730-b4e6-56f01d90e7d8)$;location=Totale;extended properties=&quot;UEsDBBQAAgAIAO+jrUzjslDcrAAAAPsAAAASABwAQ29uZmlnL1BhY2thZ2UueG1sIKIYACigFAAAAAAAAAAAAAAAAAAAAAAAAAAAAIWPzwqCQBjEX0X27rd/zCj5XA+dgoSgiK6Lbrqka+iavluHHqlXKCijW7eZYX4w87jdMRnryrvqtjONjQkHRjxtsyY3tohJ707+giQStyo7q0J7r7LtorEzMSmdu0SUDsMAQwBNW1DBGKfHdLPLSl0r39jOKZtp8qXy/xSReHiPkQLCEELGGfAZE0inHFNjJ80hhEAs58CQ/sS46ivXt1oa56/3SCeL9HNEPgFQSwMEFAACAAgA76Ot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+jrUwPSCCfrgIAAKkGAAATABwARm9ybXVsYXMvU2VjdGlvbjEubSCiGAAooBQAAAAAAAAAAAAAAAAAAAAAAAAAAACVVG1r2zAQ/h7ofxDeFweM6cu6wToPStJug63bmox9sINRrEsiIktGkrOmIf9955c2TtRQ5i+2T3fPPXd67gxklitJRs377Oqkd9IzC6qBkZuHQmlLIiLA9gg+PzSfcwloGZhVOFRZmYO0/i0XEA6UtPhjfG/wIfltQJsE5Pn7y8uLZAhmaVWR3EPObTpAL00FT4zOksysEqjThPjp9YN4CIKjG+jIC7yADJQoc2mii9OA3MhMMS7n0dn55XlAfpXKwsiuBUS7z/BOSZj0g5rvG+8rkjKWPmJpnFDxSC0QxongKxBCeVjJmE4x6qdWOUJ8AcqQud8WGpC4PbgWYpRRQbWJrC47Cb4joxnPqFXE8qKDONZUmpnSeVPBeF2A8V8lFGw2HrNpWTCs3WIMYeixDQia0ylTM80sniDKu7dhhdkc2XQmSmOUG2RTkC7WQpXahQG7Q7DwYGvjrASRVibnpJR0RbmgUy64Xb/sk6m8oHLt2Is059JlgGb64JpXqa6k85I/46Zw7dhh65aSLZZH/HMzTznbC9j2e1weueTukIyVpQLcIRlWNxvhDGUgwkGpNcr+j9LLqVJLv7+J72gOkWdA4OCl1cWkOU7Qwpts43aUJi9o7BYFVb07SV6RXMezEhd2RltHD4ca2bb6rr1rdpjkVSKb021cR7TMEfW/YtG/jdwtmmYHBSdtK3DV4PJASHRYdEof1X28V387sws0W5D4eTYm5FPULYhKtnf6MXomvJtuYJx+5kpLXFig6S7hZ63KwncIHU7j00x5tW6qXqPYKlCv5feNGxterxB7Dn7cCh3XS3MZssynoKvreGpAI7cdJXVI6ZDyPqOGQQOyR2FU5n5cMzua/FprZZVk1dUdkZzxHX6Bk++uxg3vVSmZnwbk1En4NHmdjFf/AFBLAQItABQAAgAIAO+jrUzjslDcrAAAAPsAAAASAAAAAAAAAAAAAAAAAAAAAABDb25maWcvUGFja2FnZS54bWxQSwECLQAUAAIACADvo61MD8rpq6QAAADpAAAAEwAAAAAAAAAAAAAAAAD4AAAAW0NvbnRlbnRfVHlwZXNdLnhtbFBLAQItABQAAgAIAO+jrUwPSCCfrgIAAKkGAAATAAAAAAAAAAAAAAAAAOkBAABGb3JtdWxhcy9TZWN0aW9uMS5tUEsFBgAAAAADAAMAwgAAAOQEAAAAAA==&quot;">
            <x15:dbTables>
              <x15:dbTable name="Totale"/>
            </x15:dbTables>
          </x15:oledbPr>
        </x15:connection>
      </ext>
    </extLst>
  </connection>
  <connection id="10" name="Query - TotalePerZona" description="Connessione alla query 'TotalePerZona' nella cartella di lavoro." type="100" refreshedVersion="5" minRefreshableVersion="5">
    <extLst>
      <ext xmlns:x15="http://schemas.microsoft.com/office/spreadsheetml/2010/11/main" uri="{DE250136-89BD-433C-8126-D09CA5730AF9}">
        <x15:connection id="afa4d53a-b735-4973-9611-edc1ffef8608">
          <x15:oledbPr connection="provider=Microsoft.Mashup.OleDb.1;data source=$EmbeddedMashup(7925427f-88f2-4730-b4e6-56f01d90e7d8)$;location=TotalePerZona;extended properties=&quot;UEsDBBQAAgAIAO+jrUzjslDcrAAAAPsAAAASABwAQ29uZmlnL1BhY2thZ2UueG1sIKIYACigFAAAAAAAAAAAAAAAAAAAAAAAAAAAAIWPzwqCQBjEX0X27rd/zCj5XA+dgoSgiK6Lbrqka+iavluHHqlXKCijW7eZYX4w87jdMRnryrvqtjONjQkHRjxtsyY3tohJ707+giQStyo7q0J7r7LtorEzMSmdu0SUDsMAQwBNW1DBGKfHdLPLSl0r39jOKZtp8qXy/xSReHiPkQLCEELGGfAZE0inHFNjJ80hhEAs58CQ/sS46ivXt1oa56/3SCeL9HNEPgFQSwMEFAACAAgA76OtTA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O+jrUzq2ELOQgIAAHkFAAATABwARm9ybXVsYXMvU2VjdGlvbjEubSCiGAAooBQAAAAAAAAAAAAAAAAAAAAAAAAAAAClU0uP2jAQviPxH6z0EqQo2mW7rdQVBwR0W6n7KNBLSRWZeABrHTuyx4iH9r93QmiBBtpDc7Ezj2++bzzjIENpNBtV5/Vds9FsuAW3INhgVRiLrMMUYIPR92TlXGogS88t477JfA4aw49SQdwzGunHhUHvQ/LNgXUJ6Pb729ubpA/uBU2RDCGXmPYoynIlE2ezJHPLBHZlYroGrWjSByUpDGwniIKI9YzyuXadm6uIDXRmhNTzznX7th2xr94gjHCtoHO4xo9Gw49WtOP7JvhMpBzyDUmTjKsNR2BCMiWXoJQJSMmYTynr2ZqcID4BF8Q83AuN2GTv6Co1yrji1nXQ+qMCD8RoJjOOhqEsjhDHlms3MzavFIzXBbjwn4Si7TYQmPpCkHakHCYo4jViZE6nwsysQPIQyru3cYlZuTCdKe+cqSdhCrqOtTDe1mEADwgIK9wZZx5UWppqHq/5kkvFp1JJXJ+PyUxecL2u2Ys0l7rOgMx8VTcvU1uOzrl4IV1Rt1OHsS4lW7xciM/dPJXiJOG11ZD6wiMfL8kDCMnvpbGaZhosH1ATq5Vp/rEz1TpFzT3okM/n1hdFOQEUs4DD7Nxb44vDEJ4+8K9nCnZU6NwYzYNSxjbYkRlUfuDZgn2RDuPuknjNIZzs+0jTWwnVPp+CJalN0nqZ17HcsUGu4Bnsd6p6Xue5jvy/6iOVFYeSwInMkc/Dye8O1EXuOXStNWi0KF/zwrKWi1onGp0t/biDj4fGaxGmEbv6S3OPSt/9BFBLAQItABQAAgAIAO+jrUzjslDcrAAAAPsAAAASAAAAAAAAAAAAAAAAAAAAAABDb25maWcvUGFja2FnZS54bWxQSwECLQAUAAIACADvo61MD8rpq6QAAADpAAAAEwAAAAAAAAAAAAAAAAD4AAAAW0NvbnRlbnRfVHlwZXNdLnhtbFBLAQItABQAAgAIAO+jrUzq2ELOQgIAAHkFAAATAAAAAAAAAAAAAAAAAOkBAABGb3JtdWxhcy9TZWN0aW9uMS5tUEsFBgAAAAADAAMAwgAAAHgEAAAAAA==&quot;">
            <x15:dbTables>
              <x15:dbTable name="TotalePerZona"/>
            </x15:dbTables>
          </x15:oledbPr>
        </x15:connection>
      </ext>
    </extLst>
  </connection>
  <connection id="11" keepAlive="1" name="ThisWorkbookDataModel" description="Modello di dati" type="5" refreshedVersion="5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<sst xmlns="http://schemas.openxmlformats.org/spreadsheetml/2006/main" count="9" uniqueCount="5">
  <si>
    <t>MENSILE</t>
  </si>
  <si>
    <t>start</t>
  </si>
  <si>
    <t>end</t>
  </si>
  <si>
    <t>GIORNALIERA</t>
  </si>
  <si>
    <t>ORARIA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</si>
</sst>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57575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4" borderId="4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14" fontId="0" fillId="3" borderId="2" xfId="0" applyNumberFormat="1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4" fontId="0" fillId="3" borderId="2" xfId="0" applyNumberFormat="1" applyFont="1" applyFill="1" applyBorder="1" applyAlignment="1">
      <alignment horizontal="center" vertical="center"/>
    </xf>
    <xf numFmtId="14" fontId="0" fillId="3" borderId="1" xfId="0" applyNumberFormat="1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14" fontId="0" fillId="3" borderId="7" xfId="0" applyNumberFormat="1" applyFill="1" applyBorder="1" applyAlignment="1">
      <alignment horizontal="center" vertical="center"/>
    </xf>
    <xf numFmtId="0" fontId="0" fillId="0" borderId="0" xfId="0" applyBorder="1"/>
    <xf numFmtId="0" fontId="1" fillId="4" borderId="9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</cellXfs>
  <cellStyles count="1">
    <cellStyle name="Normale" xfId="0" builtinId="0"/>
  </cellStyles>
  <dxfs count="18">
    <dxf>
      <numFmt numFmtId="19" formatCode="dd/mm/yyyy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9" formatCode="dd/mm/yyyy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/>
        <vertical/>
        <horizontal/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19" formatCode="dd/mm/yyyy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/>
        <vertical/>
        <horizontal/>
      </border>
    </dxf>
    <dxf>
      <numFmt numFmtId="19" formatCode="dd/mm/yyyy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/>
        <vertical/>
        <horizontal/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</dxfs>
  <tableStyles count="0" defaultTableStyle="TableStyleMedium2" defaultPivotStyle="PivotStyleLight16"/>
  <colors>
    <mruColors>
      <color rgb="FF398773"/>
      <color rgb="FF60BCA4"/>
      <color rgb="FF3D907A"/>
      <color rgb="FF3D9028"/>
      <color rgb="FF0F8F40"/>
      <color rgb="FF5BB9A0"/>
      <color rgb="FF48AA90"/>
      <color rgb="FF0FA340"/>
      <color rgb="FF12A64A"/>
      <color rgb="FF2CE6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7.xml"/><Relationship Id="rId13" Type="http://schemas.openxmlformats.org/officeDocument/2006/relationships/pivotTable" Target="pivotTables/pivotTable4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9" Type="http://schemas.openxmlformats.org/officeDocument/2006/relationships/customXml" Target="../customXml/item16.xml"/><Relationship Id="rId3" Type="http://schemas.openxmlformats.org/officeDocument/2006/relationships/pivotCacheDefinition" Target="pivotCache/pivotCacheDefinition2.xml"/><Relationship Id="rId21" Type="http://schemas.openxmlformats.org/officeDocument/2006/relationships/sharedStrings" Target="sharedStrings.xml"/><Relationship Id="rId34" Type="http://schemas.openxmlformats.org/officeDocument/2006/relationships/customXml" Target="../customXml/item11.xml"/><Relationship Id="rId42" Type="http://schemas.openxmlformats.org/officeDocument/2006/relationships/customXml" Target="../customXml/item19.xml"/><Relationship Id="rId47" Type="http://schemas.openxmlformats.org/officeDocument/2006/relationships/customXml" Target="../customXml/item24.xml"/><Relationship Id="rId7" Type="http://schemas.openxmlformats.org/officeDocument/2006/relationships/pivotCacheDefinition" Target="pivotCache/pivotCacheDefinition6.xml"/><Relationship Id="rId12" Type="http://schemas.openxmlformats.org/officeDocument/2006/relationships/pivotTable" Target="pivotTables/pivotTable3.xml"/><Relationship Id="rId17" Type="http://schemas.openxmlformats.org/officeDocument/2006/relationships/pivotTable" Target="pivotTables/pivotTable8.xml"/><Relationship Id="rId25" Type="http://schemas.openxmlformats.org/officeDocument/2006/relationships/customXml" Target="../customXml/item2.xml"/><Relationship Id="rId33" Type="http://schemas.openxmlformats.org/officeDocument/2006/relationships/customXml" Target="../customXml/item10.xml"/><Relationship Id="rId38" Type="http://schemas.openxmlformats.org/officeDocument/2006/relationships/customXml" Target="../customXml/item15.xml"/><Relationship Id="rId46" Type="http://schemas.openxmlformats.org/officeDocument/2006/relationships/customXml" Target="../customXml/item23.xml"/><Relationship Id="rId2" Type="http://schemas.openxmlformats.org/officeDocument/2006/relationships/pivotCacheDefinition" Target="pivotCache/pivotCacheDefinition1.xml"/><Relationship Id="rId16" Type="http://schemas.openxmlformats.org/officeDocument/2006/relationships/pivotTable" Target="pivotTables/pivotTable7.xml"/><Relationship Id="rId20" Type="http://schemas.openxmlformats.org/officeDocument/2006/relationships/styles" Target="styles.xml"/><Relationship Id="rId29" Type="http://schemas.openxmlformats.org/officeDocument/2006/relationships/customXml" Target="../customXml/item6.xml"/><Relationship Id="rId41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5.xml"/><Relationship Id="rId11" Type="http://schemas.openxmlformats.org/officeDocument/2006/relationships/pivotTable" Target="pivotTables/pivotTable2.xml"/><Relationship Id="rId24" Type="http://schemas.openxmlformats.org/officeDocument/2006/relationships/customXml" Target="../customXml/item1.xml"/><Relationship Id="rId32" Type="http://schemas.openxmlformats.org/officeDocument/2006/relationships/customXml" Target="../customXml/item9.xml"/><Relationship Id="rId37" Type="http://schemas.openxmlformats.org/officeDocument/2006/relationships/customXml" Target="../customXml/item14.xml"/><Relationship Id="rId40" Type="http://schemas.openxmlformats.org/officeDocument/2006/relationships/customXml" Target="../customXml/item17.xml"/><Relationship Id="rId45" Type="http://schemas.openxmlformats.org/officeDocument/2006/relationships/customXml" Target="../customXml/item22.xml"/><Relationship Id="rId5" Type="http://schemas.openxmlformats.org/officeDocument/2006/relationships/pivotCacheDefinition" Target="pivotCache/pivotCacheDefinition4.xml"/><Relationship Id="rId15" Type="http://schemas.openxmlformats.org/officeDocument/2006/relationships/pivotTable" Target="pivotTables/pivotTable6.xml"/><Relationship Id="rId23" Type="http://schemas.openxmlformats.org/officeDocument/2006/relationships/calcChain" Target="calcChain.xml"/><Relationship Id="rId28" Type="http://schemas.openxmlformats.org/officeDocument/2006/relationships/customXml" Target="../customXml/item5.xml"/><Relationship Id="rId36" Type="http://schemas.openxmlformats.org/officeDocument/2006/relationships/customXml" Target="../customXml/item13.xml"/><Relationship Id="rId10" Type="http://schemas.openxmlformats.org/officeDocument/2006/relationships/pivotTable" Target="pivotTables/pivotTable1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8.xml"/><Relationship Id="rId44" Type="http://schemas.openxmlformats.org/officeDocument/2006/relationships/customXml" Target="../customXml/item21.xml"/><Relationship Id="rId4" Type="http://schemas.openxmlformats.org/officeDocument/2006/relationships/pivotCacheDefinition" Target="pivotCache/pivotCacheDefinition3.xml"/><Relationship Id="rId9" Type="http://schemas.openxmlformats.org/officeDocument/2006/relationships/pivotCacheDefinition" Target="pivotCache/pivotCacheDefinition8.xml"/><Relationship Id="rId14" Type="http://schemas.openxmlformats.org/officeDocument/2006/relationships/pivotTable" Target="pivotTables/pivotTable5.xml"/><Relationship Id="rId22" Type="http://schemas.openxmlformats.org/officeDocument/2006/relationships/powerPivotData" Target="model/item.data"/><Relationship Id="rId27" Type="http://schemas.openxmlformats.org/officeDocument/2006/relationships/customXml" Target="../customXml/item4.xml"/><Relationship Id="rId30" Type="http://schemas.openxmlformats.org/officeDocument/2006/relationships/customXml" Target="../customXml/item7.xml"/><Relationship Id="rId35" Type="http://schemas.openxmlformats.org/officeDocument/2006/relationships/customXml" Target="../customXml/item12.xml"/><Relationship Id="rId43" Type="http://schemas.openxmlformats.org/officeDocument/2006/relationships/customXml" Target="../customXml/item20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ln>
                  <a:solidFill>
                    <a:schemeClr val="tx1">
                      <a:lumMod val="85000"/>
                      <a:lumOff val="15000"/>
                    </a:schemeClr>
                  </a:solidFill>
                </a:ln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it-IT" sz="1600">
                <a:ln>
                  <a:solidFill>
                    <a:schemeClr val="tx1">
                      <a:lumMod val="85000"/>
                      <a:lumOff val="15000"/>
                    </a:schemeClr>
                  </a:solidFill>
                </a:ln>
              </a:rPr>
              <a:t>Totale</a:t>
            </a:r>
            <a:r>
              <a:rPr lang="it-IT" sz="1600" baseline="0">
                <a:ln>
                  <a:solidFill>
                    <a:schemeClr val="tx1">
                      <a:lumMod val="85000"/>
                      <a:lumOff val="15000"/>
                    </a:schemeClr>
                  </a:solidFill>
                </a:ln>
              </a:rPr>
              <a:t> indisponibilità programmate per tipo</a:t>
            </a:r>
            <a:endParaRPr lang="it-IT" sz="1600">
              <a:ln>
                <a:solidFill>
                  <a:schemeClr val="tx1">
                    <a:lumMod val="85000"/>
                    <a:lumOff val="15000"/>
                  </a:schemeClr>
                </a:solidFill>
              </a:ln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ln>
                <a:solidFill>
                  <a:schemeClr val="tx1">
                    <a:lumMod val="85000"/>
                    <a:lumOff val="15000"/>
                  </a:schemeClr>
                </a:solidFill>
              </a:ln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ln w="7747" cap="rnd" cmpd="sng">
            <a:solidFill>
              <a:schemeClr val="bg1">
                <a:lumMod val="95000"/>
                <a:alpha val="76000"/>
              </a:schemeClr>
            </a:solidFill>
            <a:prstDash val="lgDash"/>
            <a:miter lim="800000"/>
          </a:ln>
          <a:effectLst/>
        </c:spPr>
        <c:marker>
          <c:symbol val="circle"/>
          <c:size val="2"/>
          <c:spPr>
            <a:solidFill>
              <a:schemeClr val="bg1">
                <a:alpha val="68000"/>
              </a:schemeClr>
            </a:solidFill>
            <a:ln w="9525">
              <a:noFill/>
              <a:round/>
            </a:ln>
            <a:effectLst/>
          </c:spPr>
        </c:marker>
      </c:pivotFmt>
      <c:pivotFmt>
        <c:idx val="1"/>
        <c:spPr>
          <a:solidFill>
            <a:srgbClr val="3D907A"/>
          </a:solidFill>
          <a:ln w="5715">
            <a:solidFill>
              <a:schemeClr val="tx1">
                <a:alpha val="5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5715">
            <a:solidFill>
              <a:schemeClr val="tx1">
                <a:alpha val="60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3"/>
        <c:spPr>
          <a:solidFill>
            <a:schemeClr val="bg2">
              <a:lumMod val="75000"/>
            </a:schemeClr>
          </a:solidFill>
          <a:ln w="5715">
            <a:solidFill>
              <a:schemeClr val="tx1">
                <a:alpha val="60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5715">
            <a:solidFill>
              <a:schemeClr val="tx1">
                <a:alpha val="60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1"/>
          <c:order val="1"/>
          <c:tx>
            <c:v>Termico</c:v>
          </c:tx>
          <c:spPr>
            <a:solidFill>
              <a:srgbClr val="3D907A"/>
            </a:solidFill>
            <a:ln w="5715">
              <a:solidFill>
                <a:schemeClr val="tx1">
                  <a:alpha val="55000"/>
                </a:schemeClr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0">
                <c:v>6814</c:v>
              </c:pt>
              <c:pt idx="1">
                <c:v>8381</c:v>
              </c:pt>
              <c:pt idx="2">
                <c:v>8322</c:v>
              </c:pt>
              <c:pt idx="3">
                <c:v>8873</c:v>
              </c:pt>
              <c:pt idx="4">
                <c:v>9779</c:v>
              </c:pt>
              <c:pt idx="5">
                <c:v>9964</c:v>
              </c:pt>
              <c:pt idx="6">
                <c:v>12220</c:v>
              </c:pt>
              <c:pt idx="7">
                <c:v>11354</c:v>
              </c:pt>
              <c:pt idx="8">
                <c:v>12681</c:v>
              </c:pt>
              <c:pt idx="9">
                <c:v>11354</c:v>
              </c:pt>
              <c:pt idx="10">
                <c:v>11090</c:v>
              </c:pt>
              <c:pt idx="11">
                <c:v>10231</c:v>
              </c:pt>
              <c:pt idx="12">
                <c:v>10765</c:v>
              </c:pt>
              <c:pt idx="13">
                <c:v>11968</c:v>
              </c:pt>
              <c:pt idx="14">
                <c:v>11113</c:v>
              </c:pt>
              <c:pt idx="15">
                <c:v>10504</c:v>
              </c:pt>
              <c:pt idx="16">
                <c:v>10131</c:v>
              </c:pt>
              <c:pt idx="17">
                <c:v>10229</c:v>
              </c:pt>
              <c:pt idx="18">
                <c:v>9221</c:v>
              </c:pt>
              <c:pt idx="19">
                <c:v>9185</c:v>
              </c:pt>
              <c:pt idx="20">
                <c:v>11049</c:v>
              </c:pt>
              <c:pt idx="21">
                <c:v>10792</c:v>
              </c:pt>
              <c:pt idx="22">
                <c:v>9879</c:v>
              </c:pt>
              <c:pt idx="23">
                <c:v>11039</c:v>
              </c:pt>
              <c:pt idx="24">
                <c:v>10065</c:v>
              </c:pt>
              <c:pt idx="25">
                <c:v>10000</c:v>
              </c:pt>
              <c:pt idx="26">
                <c:v>9465</c:v>
              </c:pt>
              <c:pt idx="27">
                <c:v>8335</c:v>
              </c:pt>
              <c:pt idx="28">
                <c:v>8351</c:v>
              </c:pt>
              <c:pt idx="29">
                <c:v>7723</c:v>
              </c:pt>
              <c:pt idx="30">
                <c:v>7624</c:v>
              </c:pt>
              <c:pt idx="31">
                <c:v>7624</c:v>
              </c:pt>
              <c:pt idx="32">
                <c:v>8279</c:v>
              </c:pt>
              <c:pt idx="33">
                <c:v>10182</c:v>
              </c:pt>
              <c:pt idx="34">
                <c:v>11519</c:v>
              </c:pt>
              <c:pt idx="35">
                <c:v>10530</c:v>
              </c:pt>
              <c:pt idx="36">
                <c:v>12262</c:v>
              </c:pt>
              <c:pt idx="37">
                <c:v>12479</c:v>
              </c:pt>
              <c:pt idx="38">
                <c:v>12797</c:v>
              </c:pt>
              <c:pt idx="39">
                <c:v>11397</c:v>
              </c:pt>
              <c:pt idx="40">
                <c:v>12096</c:v>
              </c:pt>
              <c:pt idx="41">
                <c:v>11705</c:v>
              </c:pt>
              <c:pt idx="42">
                <c:v>11590</c:v>
              </c:pt>
              <c:pt idx="43">
                <c:v>10575</c:v>
              </c:pt>
              <c:pt idx="44">
                <c:v>10308</c:v>
              </c:pt>
              <c:pt idx="45">
                <c:v>10308</c:v>
              </c:pt>
              <c:pt idx="46">
                <c:v>10308</c:v>
              </c:pt>
              <c:pt idx="47">
                <c:v>10308</c:v>
              </c:pt>
              <c:pt idx="48">
                <c:v>11308</c:v>
              </c:pt>
              <c:pt idx="49">
                <c:v>11052</c:v>
              </c:pt>
              <c:pt idx="50">
                <c:v>12462</c:v>
              </c:pt>
              <c:pt idx="51">
                <c:v>12058</c:v>
              </c:pt>
              <c:pt idx="52">
                <c:v>11250</c:v>
              </c:pt>
              <c:pt idx="53">
                <c:v>11250</c:v>
              </c:pt>
              <c:pt idx="54">
                <c:v>11250</c:v>
              </c:pt>
              <c:pt idx="55">
                <c:v>11888</c:v>
              </c:pt>
              <c:pt idx="56">
                <c:v>12050</c:v>
              </c:pt>
              <c:pt idx="57">
                <c:v>11250</c:v>
              </c:pt>
              <c:pt idx="58">
                <c:v>11250</c:v>
              </c:pt>
              <c:pt idx="59">
                <c:v>11250</c:v>
              </c:pt>
              <c:pt idx="60">
                <c:v>11250</c:v>
              </c:pt>
            </c:numLit>
          </c:val>
        </c:ser>
        <c:ser>
          <c:idx val="2"/>
          <c:order val="2"/>
          <c:tx>
            <c:v>Pompaggi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5715">
              <a:solidFill>
                <a:schemeClr val="tx1">
                  <a:alpha val="60000"/>
                </a:schemeClr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0">
                <c:v>1386</c:v>
              </c:pt>
              <c:pt idx="1">
                <c:v>1257</c:v>
              </c:pt>
              <c:pt idx="2">
                <c:v>1158</c:v>
              </c:pt>
              <c:pt idx="3">
                <c:v>1433</c:v>
              </c:pt>
              <c:pt idx="4">
                <c:v>1040</c:v>
              </c:pt>
              <c:pt idx="5">
                <c:v>1183</c:v>
              </c:pt>
              <c:pt idx="6">
                <c:v>870</c:v>
              </c:pt>
              <c:pt idx="7">
                <c:v>870</c:v>
              </c:pt>
              <c:pt idx="8">
                <c:v>2276</c:v>
              </c:pt>
              <c:pt idx="9">
                <c:v>2298</c:v>
              </c:pt>
              <c:pt idx="10">
                <c:v>2464</c:v>
              </c:pt>
              <c:pt idx="11">
                <c:v>2619</c:v>
              </c:pt>
              <c:pt idx="12">
                <c:v>2480</c:v>
              </c:pt>
              <c:pt idx="13">
                <c:v>1753</c:v>
              </c:pt>
              <c:pt idx="14">
                <c:v>1720</c:v>
              </c:pt>
              <c:pt idx="15">
                <c:v>2092</c:v>
              </c:pt>
              <c:pt idx="16">
                <c:v>2668</c:v>
              </c:pt>
              <c:pt idx="17">
                <c:v>2337</c:v>
              </c:pt>
              <c:pt idx="18">
                <c:v>1858</c:v>
              </c:pt>
              <c:pt idx="19">
                <c:v>1792</c:v>
              </c:pt>
              <c:pt idx="20">
                <c:v>1655</c:v>
              </c:pt>
              <c:pt idx="21">
                <c:v>2077</c:v>
              </c:pt>
              <c:pt idx="22">
                <c:v>1998</c:v>
              </c:pt>
              <c:pt idx="23">
                <c:v>1566</c:v>
              </c:pt>
              <c:pt idx="24">
                <c:v>1695</c:v>
              </c:pt>
              <c:pt idx="25">
                <c:v>1558</c:v>
              </c:pt>
              <c:pt idx="26">
                <c:v>1903</c:v>
              </c:pt>
              <c:pt idx="27">
                <c:v>1448</c:v>
              </c:pt>
              <c:pt idx="28">
                <c:v>1603</c:v>
              </c:pt>
              <c:pt idx="29">
                <c:v>1414</c:v>
              </c:pt>
              <c:pt idx="30">
                <c:v>1304</c:v>
              </c:pt>
              <c:pt idx="31">
                <c:v>1796</c:v>
              </c:pt>
              <c:pt idx="32">
                <c:v>1533</c:v>
              </c:pt>
              <c:pt idx="33">
                <c:v>1657</c:v>
              </c:pt>
              <c:pt idx="34">
                <c:v>1280</c:v>
              </c:pt>
              <c:pt idx="35">
                <c:v>1488</c:v>
              </c:pt>
              <c:pt idx="36">
                <c:v>1773</c:v>
              </c:pt>
              <c:pt idx="37">
                <c:v>1713</c:v>
              </c:pt>
              <c:pt idx="38">
                <c:v>2032</c:v>
              </c:pt>
              <c:pt idx="39">
                <c:v>2020</c:v>
              </c:pt>
              <c:pt idx="40">
                <c:v>1938</c:v>
              </c:pt>
              <c:pt idx="41">
                <c:v>1694</c:v>
              </c:pt>
              <c:pt idx="42">
                <c:v>1694</c:v>
              </c:pt>
              <c:pt idx="43">
                <c:v>1971</c:v>
              </c:pt>
              <c:pt idx="44">
                <c:v>2072</c:v>
              </c:pt>
              <c:pt idx="45">
                <c:v>2093</c:v>
              </c:pt>
              <c:pt idx="46">
                <c:v>1980</c:v>
              </c:pt>
              <c:pt idx="47">
                <c:v>1637</c:v>
              </c:pt>
              <c:pt idx="48">
                <c:v>740</c:v>
              </c:pt>
              <c:pt idx="49">
                <c:v>740</c:v>
              </c:pt>
              <c:pt idx="50">
                <c:v>862</c:v>
              </c:pt>
              <c:pt idx="51">
                <c:v>862</c:v>
              </c:pt>
              <c:pt idx="52">
                <c:v>862</c:v>
              </c:pt>
              <c:pt idx="53">
                <c:v>862</c:v>
              </c:pt>
              <c:pt idx="54">
                <c:v>862</c:v>
              </c:pt>
              <c:pt idx="55">
                <c:v>619</c:v>
              </c:pt>
              <c:pt idx="56">
                <c:v>619</c:v>
              </c:pt>
              <c:pt idx="57">
                <c:v>619</c:v>
              </c:pt>
              <c:pt idx="58">
                <c:v>619</c:v>
              </c:pt>
              <c:pt idx="59">
                <c:v>502</c:v>
              </c:pt>
              <c:pt idx="60">
                <c:v>502</c:v>
              </c:pt>
            </c:numLit>
          </c:val>
        </c:ser>
        <c:ser>
          <c:idx val="3"/>
          <c:order val="3"/>
          <c:tx>
            <c:v>Idrico</c:v>
          </c:tx>
          <c:spPr>
            <a:solidFill>
              <a:schemeClr val="bg2">
                <a:lumMod val="75000"/>
              </a:schemeClr>
            </a:solidFill>
            <a:ln w="5715">
              <a:solidFill>
                <a:schemeClr val="tx1">
                  <a:alpha val="60000"/>
                </a:schemeClr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0">
                <c:v>297</c:v>
              </c:pt>
              <c:pt idx="1">
                <c:v>417</c:v>
              </c:pt>
              <c:pt idx="2">
                <c:v>587</c:v>
              </c:pt>
              <c:pt idx="3">
                <c:v>588</c:v>
              </c:pt>
              <c:pt idx="4">
                <c:v>588</c:v>
              </c:pt>
              <c:pt idx="5">
                <c:v>588</c:v>
              </c:pt>
              <c:pt idx="6">
                <c:v>700</c:v>
              </c:pt>
              <c:pt idx="7">
                <c:v>740</c:v>
              </c:pt>
              <c:pt idx="8">
                <c:v>604</c:v>
              </c:pt>
              <c:pt idx="9">
                <c:v>604</c:v>
              </c:pt>
              <c:pt idx="10">
                <c:v>604</c:v>
              </c:pt>
              <c:pt idx="11">
                <c:v>468</c:v>
              </c:pt>
              <c:pt idx="12">
                <c:v>467</c:v>
              </c:pt>
              <c:pt idx="13">
                <c:v>306</c:v>
              </c:pt>
              <c:pt idx="14">
                <c:v>303</c:v>
              </c:pt>
              <c:pt idx="15">
                <c:v>307</c:v>
              </c:pt>
              <c:pt idx="16">
                <c:v>403</c:v>
              </c:pt>
              <c:pt idx="17">
                <c:v>307</c:v>
              </c:pt>
              <c:pt idx="18">
                <c:v>309</c:v>
              </c:pt>
              <c:pt idx="19">
                <c:v>418</c:v>
              </c:pt>
              <c:pt idx="20">
                <c:v>308</c:v>
              </c:pt>
              <c:pt idx="21">
                <c:v>308</c:v>
              </c:pt>
              <c:pt idx="22">
                <c:v>450</c:v>
              </c:pt>
              <c:pt idx="23">
                <c:v>558</c:v>
              </c:pt>
              <c:pt idx="24">
                <c:v>336</c:v>
              </c:pt>
              <c:pt idx="25">
                <c:v>326</c:v>
              </c:pt>
              <c:pt idx="26">
                <c:v>293</c:v>
              </c:pt>
              <c:pt idx="27">
                <c:v>252</c:v>
              </c:pt>
              <c:pt idx="28">
                <c:v>252</c:v>
              </c:pt>
              <c:pt idx="29">
                <c:v>241</c:v>
              </c:pt>
              <c:pt idx="30">
                <c:v>238</c:v>
              </c:pt>
              <c:pt idx="31">
                <c:v>238</c:v>
              </c:pt>
              <c:pt idx="32">
                <c:v>348</c:v>
              </c:pt>
              <c:pt idx="33">
                <c:v>239</c:v>
              </c:pt>
              <c:pt idx="34">
                <c:v>259</c:v>
              </c:pt>
              <c:pt idx="35">
                <c:v>259</c:v>
              </c:pt>
              <c:pt idx="36">
                <c:v>259</c:v>
              </c:pt>
              <c:pt idx="37">
                <c:v>147</c:v>
              </c:pt>
              <c:pt idx="38">
                <c:v>147</c:v>
              </c:pt>
              <c:pt idx="39">
                <c:v>147</c:v>
              </c:pt>
              <c:pt idx="40">
                <c:v>147</c:v>
              </c:pt>
              <c:pt idx="41">
                <c:v>147</c:v>
              </c:pt>
              <c:pt idx="42">
                <c:v>147</c:v>
              </c:pt>
              <c:pt idx="43">
                <c:v>257</c:v>
              </c:pt>
              <c:pt idx="44">
                <c:v>257</c:v>
              </c:pt>
              <c:pt idx="45">
                <c:v>310</c:v>
              </c:pt>
              <c:pt idx="46">
                <c:v>200</c:v>
              </c:pt>
              <c:pt idx="47">
                <c:v>200</c:v>
              </c:pt>
              <c:pt idx="48">
                <c:v>147</c:v>
              </c:pt>
              <c:pt idx="49">
                <c:v>147</c:v>
              </c:pt>
              <c:pt idx="50">
                <c:v>147</c:v>
              </c:pt>
              <c:pt idx="51">
                <c:v>147</c:v>
              </c:pt>
              <c:pt idx="52">
                <c:v>147</c:v>
              </c:pt>
              <c:pt idx="53">
                <c:v>147</c:v>
              </c:pt>
              <c:pt idx="54">
                <c:v>147</c:v>
              </c:pt>
              <c:pt idx="55">
                <c:v>147</c:v>
              </c:pt>
              <c:pt idx="56">
                <c:v>147</c:v>
              </c:pt>
              <c:pt idx="57">
                <c:v>147</c:v>
              </c:pt>
              <c:pt idx="58">
                <c:v>165</c:v>
              </c:pt>
              <c:pt idx="59">
                <c:v>165</c:v>
              </c:pt>
              <c:pt idx="60">
                <c:v>167</c:v>
              </c:pt>
            </c:numLit>
          </c:val>
        </c:ser>
        <c:ser>
          <c:idx val="4"/>
          <c:order val="4"/>
          <c:tx>
            <c:v>Eolico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5715">
              <a:solidFill>
                <a:schemeClr val="tx1">
                  <a:alpha val="60000"/>
                </a:schemeClr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16">
                <c:v>138</c:v>
              </c:pt>
              <c:pt idx="17">
                <c:v>138</c:v>
              </c:pt>
              <c:pt idx="18">
                <c:v>138</c:v>
              </c:pt>
              <c:pt idx="19">
                <c:v>138</c:v>
              </c:pt>
              <c:pt idx="22">
                <c:v>79</c:v>
              </c:pt>
              <c:pt idx="23">
                <c:v>79</c:v>
              </c:pt>
              <c:pt idx="24">
                <c:v>79</c:v>
              </c:pt>
              <c:pt idx="25">
                <c:v>79</c:v>
              </c:pt>
              <c:pt idx="26">
                <c:v>79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54826232"/>
        <c:axId val="559504032"/>
      </c:barChart>
      <c:lineChart>
        <c:grouping val="standard"/>
        <c:varyColors val="0"/>
        <c:ser>
          <c:idx val="0"/>
          <c:order val="0"/>
          <c:tx>
            <c:v>Totale</c:v>
          </c:tx>
          <c:spPr>
            <a:ln w="7747" cap="rnd" cmpd="sng">
              <a:solidFill>
                <a:schemeClr val="bg1">
                  <a:lumMod val="95000"/>
                  <a:alpha val="76000"/>
                </a:schemeClr>
              </a:solidFill>
              <a:prstDash val="lgDash"/>
              <a:miter lim="800000"/>
            </a:ln>
            <a:effectLst/>
          </c:spPr>
          <c:marker>
            <c:symbol val="circle"/>
            <c:size val="2"/>
            <c:spPr>
              <a:solidFill>
                <a:schemeClr val="bg1">
                  <a:alpha val="68000"/>
                </a:schemeClr>
              </a:solidFill>
              <a:ln w="9525">
                <a:noFill/>
                <a:round/>
              </a:ln>
              <a:effectLst/>
            </c:spPr>
          </c:marker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0">
                <c:v>8497</c:v>
              </c:pt>
              <c:pt idx="1">
                <c:v>10055</c:v>
              </c:pt>
              <c:pt idx="2">
                <c:v>10067</c:v>
              </c:pt>
              <c:pt idx="3">
                <c:v>10894</c:v>
              </c:pt>
              <c:pt idx="4">
                <c:v>11406</c:v>
              </c:pt>
              <c:pt idx="5">
                <c:v>11734</c:v>
              </c:pt>
              <c:pt idx="6">
                <c:v>13790</c:v>
              </c:pt>
              <c:pt idx="7">
                <c:v>12964</c:v>
              </c:pt>
              <c:pt idx="8">
                <c:v>15562</c:v>
              </c:pt>
              <c:pt idx="9">
                <c:v>14256</c:v>
              </c:pt>
              <c:pt idx="10">
                <c:v>14159</c:v>
              </c:pt>
              <c:pt idx="11">
                <c:v>13318</c:v>
              </c:pt>
              <c:pt idx="12">
                <c:v>13711</c:v>
              </c:pt>
              <c:pt idx="13">
                <c:v>14027</c:v>
              </c:pt>
              <c:pt idx="14">
                <c:v>13136</c:v>
              </c:pt>
              <c:pt idx="15">
                <c:v>12903</c:v>
              </c:pt>
              <c:pt idx="16">
                <c:v>13339</c:v>
              </c:pt>
              <c:pt idx="17">
                <c:v>13011</c:v>
              </c:pt>
              <c:pt idx="18">
                <c:v>11526</c:v>
              </c:pt>
              <c:pt idx="19">
                <c:v>11532</c:v>
              </c:pt>
              <c:pt idx="20">
                <c:v>13012</c:v>
              </c:pt>
              <c:pt idx="21">
                <c:v>13176</c:v>
              </c:pt>
              <c:pt idx="22">
                <c:v>12405</c:v>
              </c:pt>
              <c:pt idx="23">
                <c:v>13242</c:v>
              </c:pt>
              <c:pt idx="24">
                <c:v>12175</c:v>
              </c:pt>
              <c:pt idx="25">
                <c:v>11962</c:v>
              </c:pt>
              <c:pt idx="26">
                <c:v>11739</c:v>
              </c:pt>
              <c:pt idx="27">
                <c:v>10034</c:v>
              </c:pt>
              <c:pt idx="28">
                <c:v>10206</c:v>
              </c:pt>
              <c:pt idx="29">
                <c:v>9377</c:v>
              </c:pt>
              <c:pt idx="30">
                <c:v>9165</c:v>
              </c:pt>
              <c:pt idx="31">
                <c:v>9658</c:v>
              </c:pt>
              <c:pt idx="32">
                <c:v>10159</c:v>
              </c:pt>
              <c:pt idx="33">
                <c:v>12079</c:v>
              </c:pt>
              <c:pt idx="34">
                <c:v>13058</c:v>
              </c:pt>
              <c:pt idx="35">
                <c:v>12277</c:v>
              </c:pt>
              <c:pt idx="36">
                <c:v>14294</c:v>
              </c:pt>
              <c:pt idx="37">
                <c:v>14339</c:v>
              </c:pt>
              <c:pt idx="38">
                <c:v>14976</c:v>
              </c:pt>
              <c:pt idx="39">
                <c:v>13564</c:v>
              </c:pt>
              <c:pt idx="40">
                <c:v>14181</c:v>
              </c:pt>
              <c:pt idx="41">
                <c:v>13546</c:v>
              </c:pt>
              <c:pt idx="42">
                <c:v>13431</c:v>
              </c:pt>
              <c:pt idx="43">
                <c:v>12803</c:v>
              </c:pt>
              <c:pt idx="44">
                <c:v>12637</c:v>
              </c:pt>
              <c:pt idx="45">
                <c:v>12711</c:v>
              </c:pt>
              <c:pt idx="46">
                <c:v>12488</c:v>
              </c:pt>
              <c:pt idx="47">
                <c:v>12145</c:v>
              </c:pt>
              <c:pt idx="48">
                <c:v>12195</c:v>
              </c:pt>
              <c:pt idx="49">
                <c:v>11939</c:v>
              </c:pt>
              <c:pt idx="50">
                <c:v>13471</c:v>
              </c:pt>
              <c:pt idx="51">
                <c:v>13067</c:v>
              </c:pt>
              <c:pt idx="52">
                <c:v>12259</c:v>
              </c:pt>
              <c:pt idx="53">
                <c:v>12259</c:v>
              </c:pt>
              <c:pt idx="54">
                <c:v>12259</c:v>
              </c:pt>
              <c:pt idx="55">
                <c:v>12654</c:v>
              </c:pt>
              <c:pt idx="56">
                <c:v>12816</c:v>
              </c:pt>
              <c:pt idx="57">
                <c:v>12016</c:v>
              </c:pt>
              <c:pt idx="58">
                <c:v>12034</c:v>
              </c:pt>
              <c:pt idx="59">
                <c:v>11917</c:v>
              </c:pt>
              <c:pt idx="60">
                <c:v>11919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826232"/>
        <c:axId val="559504032"/>
      </c:lineChart>
      <c:catAx>
        <c:axId val="5548262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7620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5950403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595040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777777"/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54826232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 cap="rnd">
      <a:solidFill>
        <a:schemeClr val="tx1">
          <a:lumMod val="75000"/>
          <a:lumOff val="2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it-IT"/>
    </a:p>
  </c:txPr>
  <c:extLst>
    <c:ext xmlns:c15="http://schemas.microsoft.com/office/drawing/2012/chart" uri="{723BEF56-08C2-4564-9609-F4CBC75E7E54}">
      <c15:pivotSource>
        <c15:name>[remit.xlsm]PivotChartTable2</c15:name>
        <c15:fmtId val="0"/>
      </c15:pivotSource>
      <c15:pivotOptions>
        <c15:dropZoneFilter val="1"/>
        <c15:dropZoneCategories val="1"/>
        <c15:dropZoneData val="1"/>
        <c15:dropZoneSeries val="1"/>
      </c15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ln>
                  <a:solidFill>
                    <a:schemeClr val="tx1">
                      <a:lumMod val="85000"/>
                      <a:lumOff val="15000"/>
                    </a:schemeClr>
                  </a:solidFill>
                </a:ln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it-IT">
                <a:ln>
                  <a:solidFill>
                    <a:schemeClr val="tx1">
                      <a:lumMod val="85000"/>
                      <a:lumOff val="15000"/>
                    </a:schemeClr>
                  </a:solidFill>
                </a:ln>
              </a:rPr>
              <a:t>Totale indisponibilità programmate per zona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ln>
                <a:solidFill>
                  <a:schemeClr val="tx1">
                    <a:lumMod val="85000"/>
                    <a:lumOff val="15000"/>
                  </a:schemeClr>
                </a:solidFill>
              </a:ln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9525"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areaChart>
        <c:grouping val="stacked"/>
        <c:varyColors val="0"/>
        <c:ser>
          <c:idx val="0"/>
          <c:order val="0"/>
          <c:tx>
            <c:v>BRNN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2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0">
                <c:v>1457</c:v>
              </c:pt>
              <c:pt idx="1">
                <c:v>985</c:v>
              </c:pt>
              <c:pt idx="2">
                <c:v>605</c:v>
              </c:pt>
              <c:pt idx="3">
                <c:v>605</c:v>
              </c:pt>
              <c:pt idx="4">
                <c:v>605</c:v>
              </c:pt>
              <c:pt idx="5">
                <c:v>605</c:v>
              </c:pt>
              <c:pt idx="6">
                <c:v>2006</c:v>
              </c:pt>
              <c:pt idx="7">
                <c:v>985</c:v>
              </c:pt>
              <c:pt idx="8">
                <c:v>985</c:v>
              </c:pt>
              <c:pt idx="9">
                <c:v>605</c:v>
              </c:pt>
              <c:pt idx="10">
                <c:v>605</c:v>
              </c:pt>
              <c:pt idx="11">
                <c:v>605</c:v>
              </c:pt>
              <c:pt idx="12">
                <c:v>887</c:v>
              </c:pt>
              <c:pt idx="13">
                <c:v>1077</c:v>
              </c:pt>
              <c:pt idx="14">
                <c:v>605</c:v>
              </c:pt>
              <c:pt idx="15">
                <c:v>605</c:v>
              </c:pt>
              <c:pt idx="16">
                <c:v>985</c:v>
              </c:pt>
              <c:pt idx="17">
                <c:v>1457</c:v>
              </c:pt>
              <c:pt idx="23">
                <c:v>472</c:v>
              </c:pt>
              <c:pt idx="34">
                <c:v>1272</c:v>
              </c:pt>
              <c:pt idx="35">
                <c:v>800</c:v>
              </c:pt>
              <c:pt idx="36">
                <c:v>800</c:v>
              </c:pt>
              <c:pt idx="37">
                <c:v>800</c:v>
              </c:pt>
              <c:pt idx="38">
                <c:v>800</c:v>
              </c:pt>
              <c:pt idx="39">
                <c:v>800</c:v>
              </c:pt>
              <c:pt idx="40">
                <c:v>800</c:v>
              </c:pt>
              <c:pt idx="41">
                <c:v>800</c:v>
              </c:pt>
              <c:pt idx="42">
                <c:v>800</c:v>
              </c:pt>
              <c:pt idx="43">
                <c:v>800</c:v>
              </c:pt>
              <c:pt idx="44">
                <c:v>800</c:v>
              </c:pt>
              <c:pt idx="45">
                <c:v>800</c:v>
              </c:pt>
              <c:pt idx="46">
                <c:v>800</c:v>
              </c:pt>
              <c:pt idx="47">
                <c:v>800</c:v>
              </c:pt>
              <c:pt idx="48">
                <c:v>1180</c:v>
              </c:pt>
              <c:pt idx="49">
                <c:v>1180</c:v>
              </c:pt>
              <c:pt idx="50">
                <c:v>1785</c:v>
              </c:pt>
              <c:pt idx="51">
                <c:v>1785</c:v>
              </c:pt>
              <c:pt idx="52">
                <c:v>1785</c:v>
              </c:pt>
              <c:pt idx="53">
                <c:v>1785</c:v>
              </c:pt>
              <c:pt idx="54">
                <c:v>1785</c:v>
              </c:pt>
              <c:pt idx="55">
                <c:v>1785</c:v>
              </c:pt>
              <c:pt idx="56">
                <c:v>1785</c:v>
              </c:pt>
              <c:pt idx="57">
                <c:v>1785</c:v>
              </c:pt>
              <c:pt idx="58">
                <c:v>1785</c:v>
              </c:pt>
              <c:pt idx="59">
                <c:v>1785</c:v>
              </c:pt>
              <c:pt idx="60">
                <c:v>1785</c:v>
              </c:pt>
            </c:numLit>
          </c:val>
        </c:ser>
        <c:ser>
          <c:idx val="1"/>
          <c:order val="1"/>
          <c:tx>
            <c:v>CNOR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2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0">
                <c:v>140</c:v>
              </c:pt>
              <c:pt idx="1">
                <c:v>531</c:v>
              </c:pt>
              <c:pt idx="2">
                <c:v>531</c:v>
              </c:pt>
              <c:pt idx="3">
                <c:v>531</c:v>
              </c:pt>
              <c:pt idx="4">
                <c:v>812</c:v>
              </c:pt>
              <c:pt idx="5">
                <c:v>812</c:v>
              </c:pt>
              <c:pt idx="6">
                <c:v>812</c:v>
              </c:pt>
              <c:pt idx="7">
                <c:v>812</c:v>
              </c:pt>
              <c:pt idx="8">
                <c:v>562</c:v>
              </c:pt>
              <c:pt idx="9">
                <c:v>140</c:v>
              </c:pt>
              <c:pt idx="10">
                <c:v>140</c:v>
              </c:pt>
              <c:pt idx="11">
                <c:v>241</c:v>
              </c:pt>
              <c:pt idx="12">
                <c:v>140</c:v>
              </c:pt>
              <c:pt idx="13">
                <c:v>140</c:v>
              </c:pt>
              <c:pt idx="14">
                <c:v>140</c:v>
              </c:pt>
              <c:pt idx="15">
                <c:v>140</c:v>
              </c:pt>
              <c:pt idx="16">
                <c:v>244</c:v>
              </c:pt>
              <c:pt idx="17">
                <c:v>244</c:v>
              </c:pt>
              <c:pt idx="18">
                <c:v>315</c:v>
              </c:pt>
              <c:pt idx="19">
                <c:v>140</c:v>
              </c:pt>
              <c:pt idx="20">
                <c:v>140</c:v>
              </c:pt>
              <c:pt idx="21">
                <c:v>421</c:v>
              </c:pt>
              <c:pt idx="22">
                <c:v>421</c:v>
              </c:pt>
              <c:pt idx="23">
                <c:v>420</c:v>
              </c:pt>
              <c:pt idx="24">
                <c:v>140</c:v>
              </c:pt>
              <c:pt idx="25">
                <c:v>140</c:v>
              </c:pt>
              <c:pt idx="26">
                <c:v>140</c:v>
              </c:pt>
              <c:pt idx="27">
                <c:v>140</c:v>
              </c:pt>
              <c:pt idx="28">
                <c:v>140</c:v>
              </c:pt>
              <c:pt idx="29">
                <c:v>140</c:v>
              </c:pt>
              <c:pt idx="30">
                <c:v>140</c:v>
              </c:pt>
              <c:pt idx="31">
                <c:v>140</c:v>
              </c:pt>
              <c:pt idx="32">
                <c:v>140</c:v>
              </c:pt>
              <c:pt idx="33">
                <c:v>407</c:v>
              </c:pt>
              <c:pt idx="34">
                <c:v>140</c:v>
              </c:pt>
              <c:pt idx="35">
                <c:v>140</c:v>
              </c:pt>
              <c:pt idx="36">
                <c:v>140</c:v>
              </c:pt>
              <c:pt idx="37">
                <c:v>140</c:v>
              </c:pt>
              <c:pt idx="38">
                <c:v>140</c:v>
              </c:pt>
              <c:pt idx="39">
                <c:v>140</c:v>
              </c:pt>
              <c:pt idx="40">
                <c:v>140</c:v>
              </c:pt>
              <c:pt idx="41">
                <c:v>140</c:v>
              </c:pt>
              <c:pt idx="42">
                <c:v>140</c:v>
              </c:pt>
              <c:pt idx="43">
                <c:v>140</c:v>
              </c:pt>
              <c:pt idx="44">
                <c:v>140</c:v>
              </c:pt>
              <c:pt idx="45">
                <c:v>140</c:v>
              </c:pt>
              <c:pt idx="46">
                <c:v>140</c:v>
              </c:pt>
              <c:pt idx="47">
                <c:v>140</c:v>
              </c:pt>
              <c:pt idx="48">
                <c:v>140</c:v>
              </c:pt>
              <c:pt idx="49">
                <c:v>140</c:v>
              </c:pt>
              <c:pt idx="50">
                <c:v>140</c:v>
              </c:pt>
              <c:pt idx="51">
                <c:v>140</c:v>
              </c:pt>
              <c:pt idx="52">
                <c:v>140</c:v>
              </c:pt>
              <c:pt idx="53">
                <c:v>140</c:v>
              </c:pt>
              <c:pt idx="54">
                <c:v>140</c:v>
              </c:pt>
              <c:pt idx="55">
                <c:v>140</c:v>
              </c:pt>
              <c:pt idx="56">
                <c:v>140</c:v>
              </c:pt>
              <c:pt idx="57">
                <c:v>140</c:v>
              </c:pt>
              <c:pt idx="58">
                <c:v>140</c:v>
              </c:pt>
              <c:pt idx="59">
                <c:v>140</c:v>
              </c:pt>
              <c:pt idx="60">
                <c:v>140</c:v>
              </c:pt>
            </c:numLit>
          </c:val>
        </c:ser>
        <c:ser>
          <c:idx val="2"/>
          <c:order val="2"/>
          <c:tx>
            <c:v>CSUD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2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0">
                <c:v>1263</c:v>
              </c:pt>
              <c:pt idx="1">
                <c:v>1669</c:v>
              </c:pt>
              <c:pt idx="2">
                <c:v>1494</c:v>
              </c:pt>
              <c:pt idx="3">
                <c:v>1442</c:v>
              </c:pt>
              <c:pt idx="4">
                <c:v>1285</c:v>
              </c:pt>
              <c:pt idx="5">
                <c:v>1316</c:v>
              </c:pt>
              <c:pt idx="6">
                <c:v>976</c:v>
              </c:pt>
              <c:pt idx="7">
                <c:v>976</c:v>
              </c:pt>
              <c:pt idx="8">
                <c:v>2486</c:v>
              </c:pt>
              <c:pt idx="9">
                <c:v>2380</c:v>
              </c:pt>
              <c:pt idx="10">
                <c:v>2476</c:v>
              </c:pt>
              <c:pt idx="11">
                <c:v>2351</c:v>
              </c:pt>
              <c:pt idx="12">
                <c:v>2458</c:v>
              </c:pt>
              <c:pt idx="13">
                <c:v>2209</c:v>
              </c:pt>
              <c:pt idx="14">
                <c:v>1713</c:v>
              </c:pt>
              <c:pt idx="15">
                <c:v>1713</c:v>
              </c:pt>
              <c:pt idx="16">
                <c:v>2382</c:v>
              </c:pt>
              <c:pt idx="17">
                <c:v>2074</c:v>
              </c:pt>
              <c:pt idx="18">
                <c:v>1713</c:v>
              </c:pt>
              <c:pt idx="19">
                <c:v>2176</c:v>
              </c:pt>
              <c:pt idx="20">
                <c:v>2060</c:v>
              </c:pt>
              <c:pt idx="21">
                <c:v>2649</c:v>
              </c:pt>
              <c:pt idx="22">
                <c:v>2636</c:v>
              </c:pt>
              <c:pt idx="23">
                <c:v>2632</c:v>
              </c:pt>
              <c:pt idx="24">
                <c:v>2639</c:v>
              </c:pt>
              <c:pt idx="25">
                <c:v>2608</c:v>
              </c:pt>
              <c:pt idx="26">
                <c:v>2367</c:v>
              </c:pt>
              <c:pt idx="27">
                <c:v>2003</c:v>
              </c:pt>
              <c:pt idx="28">
                <c:v>2522</c:v>
              </c:pt>
              <c:pt idx="29">
                <c:v>2622</c:v>
              </c:pt>
              <c:pt idx="30">
                <c:v>2052</c:v>
              </c:pt>
              <c:pt idx="31">
                <c:v>2018</c:v>
              </c:pt>
              <c:pt idx="32">
                <c:v>2187</c:v>
              </c:pt>
              <c:pt idx="33">
                <c:v>2354</c:v>
              </c:pt>
              <c:pt idx="34">
                <c:v>1955</c:v>
              </c:pt>
              <c:pt idx="35">
                <c:v>2156</c:v>
              </c:pt>
              <c:pt idx="36">
                <c:v>3164</c:v>
              </c:pt>
              <c:pt idx="37">
                <c:v>3071</c:v>
              </c:pt>
              <c:pt idx="38">
                <c:v>3198</c:v>
              </c:pt>
              <c:pt idx="39">
                <c:v>2794</c:v>
              </c:pt>
              <c:pt idx="40">
                <c:v>2884</c:v>
              </c:pt>
              <c:pt idx="41">
                <c:v>2667</c:v>
              </c:pt>
              <c:pt idx="42">
                <c:v>2667</c:v>
              </c:pt>
              <c:pt idx="43">
                <c:v>2051</c:v>
              </c:pt>
              <c:pt idx="44">
                <c:v>2051</c:v>
              </c:pt>
              <c:pt idx="45">
                <c:v>2051</c:v>
              </c:pt>
              <c:pt idx="46">
                <c:v>2051</c:v>
              </c:pt>
              <c:pt idx="47">
                <c:v>2051</c:v>
              </c:pt>
              <c:pt idx="48">
                <c:v>1434</c:v>
              </c:pt>
              <c:pt idx="49">
                <c:v>1434</c:v>
              </c:pt>
              <c:pt idx="50">
                <c:v>1434</c:v>
              </c:pt>
              <c:pt idx="51">
                <c:v>1030</c:v>
              </c:pt>
              <c:pt idx="52">
                <c:v>1030</c:v>
              </c:pt>
              <c:pt idx="53">
                <c:v>1030</c:v>
              </c:pt>
              <c:pt idx="54">
                <c:v>1030</c:v>
              </c:pt>
              <c:pt idx="55">
                <c:v>1030</c:v>
              </c:pt>
              <c:pt idx="56">
                <c:v>1030</c:v>
              </c:pt>
              <c:pt idx="57">
                <c:v>1030</c:v>
              </c:pt>
              <c:pt idx="58">
                <c:v>1030</c:v>
              </c:pt>
              <c:pt idx="59">
                <c:v>1030</c:v>
              </c:pt>
              <c:pt idx="60">
                <c:v>1030</c:v>
              </c:pt>
            </c:numLit>
          </c:val>
        </c:ser>
        <c:ser>
          <c:idx val="3"/>
          <c:order val="3"/>
          <c:tx>
            <c:v>FOGN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2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1">
                <c:v>400</c:v>
              </c:pt>
              <c:pt idx="7">
                <c:v>420</c:v>
              </c:pt>
              <c:pt idx="8">
                <c:v>420</c:v>
              </c:pt>
              <c:pt idx="9">
                <c:v>420</c:v>
              </c:pt>
              <c:pt idx="10">
                <c:v>420</c:v>
              </c:pt>
              <c:pt idx="11">
                <c:v>420</c:v>
              </c:pt>
              <c:pt idx="12">
                <c:v>420</c:v>
              </c:pt>
              <c:pt idx="13">
                <c:v>420</c:v>
              </c:pt>
              <c:pt idx="14">
                <c:v>420</c:v>
              </c:pt>
              <c:pt idx="15">
                <c:v>420</c:v>
              </c:pt>
              <c:pt idx="16">
                <c:v>420</c:v>
              </c:pt>
              <c:pt idx="17">
                <c:v>420</c:v>
              </c:pt>
              <c:pt idx="18">
                <c:v>420</c:v>
              </c:pt>
              <c:pt idx="19">
                <c:v>808</c:v>
              </c:pt>
              <c:pt idx="20">
                <c:v>808</c:v>
              </c:pt>
              <c:pt idx="21">
                <c:v>388</c:v>
              </c:pt>
              <c:pt idx="30">
                <c:v>388</c:v>
              </c:pt>
              <c:pt idx="31">
                <c:v>388</c:v>
              </c:pt>
              <c:pt idx="32">
                <c:v>388</c:v>
              </c:pt>
              <c:pt idx="33">
                <c:v>388</c:v>
              </c:pt>
              <c:pt idx="34">
                <c:v>388</c:v>
              </c:pt>
              <c:pt idx="35">
                <c:v>388</c:v>
              </c:pt>
              <c:pt idx="36">
                <c:v>438</c:v>
              </c:pt>
              <c:pt idx="37">
                <c:v>388</c:v>
              </c:pt>
              <c:pt idx="38">
                <c:v>388</c:v>
              </c:pt>
              <c:pt idx="39">
                <c:v>388</c:v>
              </c:pt>
              <c:pt idx="40">
                <c:v>388</c:v>
              </c:pt>
              <c:pt idx="41">
                <c:v>388</c:v>
              </c:pt>
              <c:pt idx="42">
                <c:v>388</c:v>
              </c:pt>
              <c:pt idx="43">
                <c:v>388</c:v>
              </c:pt>
              <c:pt idx="44">
                <c:v>388</c:v>
              </c:pt>
              <c:pt idx="45">
                <c:v>388</c:v>
              </c:pt>
              <c:pt idx="46">
                <c:v>388</c:v>
              </c:pt>
              <c:pt idx="47">
                <c:v>388</c:v>
              </c:pt>
              <c:pt idx="48">
                <c:v>388</c:v>
              </c:pt>
              <c:pt idx="49">
                <c:v>388</c:v>
              </c:pt>
              <c:pt idx="50">
                <c:v>388</c:v>
              </c:pt>
              <c:pt idx="51">
                <c:v>388</c:v>
              </c:pt>
              <c:pt idx="52">
                <c:v>388</c:v>
              </c:pt>
              <c:pt idx="53">
                <c:v>388</c:v>
              </c:pt>
              <c:pt idx="54">
                <c:v>388</c:v>
              </c:pt>
              <c:pt idx="55">
                <c:v>388</c:v>
              </c:pt>
              <c:pt idx="56">
                <c:v>388</c:v>
              </c:pt>
              <c:pt idx="57">
                <c:v>388</c:v>
              </c:pt>
              <c:pt idx="58">
                <c:v>388</c:v>
              </c:pt>
              <c:pt idx="59">
                <c:v>388</c:v>
              </c:pt>
              <c:pt idx="60">
                <c:v>388</c:v>
              </c:pt>
            </c:numLit>
          </c:val>
        </c:ser>
        <c:ser>
          <c:idx val="4"/>
          <c:order val="4"/>
          <c:tx>
            <c:v>NORD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tx2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0">
                <c:v>4030</c:v>
              </c:pt>
              <c:pt idx="1">
                <c:v>4656</c:v>
              </c:pt>
              <c:pt idx="2">
                <c:v>5239</c:v>
              </c:pt>
              <c:pt idx="3">
                <c:v>6118</c:v>
              </c:pt>
              <c:pt idx="4">
                <c:v>6240</c:v>
              </c:pt>
              <c:pt idx="5">
                <c:v>6148</c:v>
              </c:pt>
              <c:pt idx="6">
                <c:v>6688</c:v>
              </c:pt>
              <c:pt idx="7">
                <c:v>6728</c:v>
              </c:pt>
              <c:pt idx="8">
                <c:v>8063</c:v>
              </c:pt>
              <c:pt idx="9">
                <c:v>7564</c:v>
              </c:pt>
              <c:pt idx="10">
                <c:v>7635</c:v>
              </c:pt>
              <c:pt idx="11">
                <c:v>6841</c:v>
              </c:pt>
              <c:pt idx="12">
                <c:v>7048</c:v>
              </c:pt>
              <c:pt idx="13">
                <c:v>7423</c:v>
              </c:pt>
              <c:pt idx="14">
                <c:v>7494</c:v>
              </c:pt>
              <c:pt idx="15">
                <c:v>7404</c:v>
              </c:pt>
              <c:pt idx="16">
                <c:v>6973</c:v>
              </c:pt>
              <c:pt idx="17">
                <c:v>6481</c:v>
              </c:pt>
              <c:pt idx="18">
                <c:v>6844</c:v>
              </c:pt>
              <c:pt idx="19">
                <c:v>6176</c:v>
              </c:pt>
              <c:pt idx="20">
                <c:v>7621</c:v>
              </c:pt>
              <c:pt idx="21">
                <c:v>7595</c:v>
              </c:pt>
              <c:pt idx="22">
                <c:v>7174</c:v>
              </c:pt>
              <c:pt idx="23">
                <c:v>7688</c:v>
              </c:pt>
              <c:pt idx="24">
                <c:v>7220</c:v>
              </c:pt>
              <c:pt idx="25">
                <c:v>6763</c:v>
              </c:pt>
              <c:pt idx="26">
                <c:v>7192</c:v>
              </c:pt>
              <c:pt idx="27">
                <c:v>6324</c:v>
              </c:pt>
              <c:pt idx="28">
                <c:v>6453</c:v>
              </c:pt>
              <c:pt idx="29">
                <c:v>5536</c:v>
              </c:pt>
              <c:pt idx="30">
                <c:v>5776</c:v>
              </c:pt>
              <c:pt idx="31">
                <c:v>6302</c:v>
              </c:pt>
              <c:pt idx="32">
                <c:v>6235</c:v>
              </c:pt>
              <c:pt idx="33">
                <c:v>6483</c:v>
              </c:pt>
              <c:pt idx="34">
                <c:v>7117</c:v>
              </c:pt>
              <c:pt idx="35">
                <c:v>6754</c:v>
              </c:pt>
              <c:pt idx="36">
                <c:v>7426</c:v>
              </c:pt>
              <c:pt idx="37">
                <c:v>7060</c:v>
              </c:pt>
              <c:pt idx="38">
                <c:v>7930</c:v>
              </c:pt>
              <c:pt idx="39">
                <c:v>7254</c:v>
              </c:pt>
              <c:pt idx="40">
                <c:v>7747</c:v>
              </c:pt>
              <c:pt idx="41">
                <c:v>7256</c:v>
              </c:pt>
              <c:pt idx="42">
                <c:v>7256</c:v>
              </c:pt>
              <c:pt idx="43">
                <c:v>6997</c:v>
              </c:pt>
              <c:pt idx="44">
                <c:v>7098</c:v>
              </c:pt>
              <c:pt idx="45">
                <c:v>7172</c:v>
              </c:pt>
              <c:pt idx="46">
                <c:v>6949</c:v>
              </c:pt>
              <c:pt idx="47">
                <c:v>6606</c:v>
              </c:pt>
              <c:pt idx="48">
                <c:v>6158</c:v>
              </c:pt>
              <c:pt idx="49">
                <c:v>6158</c:v>
              </c:pt>
              <c:pt idx="50">
                <c:v>6701</c:v>
              </c:pt>
              <c:pt idx="51">
                <c:v>6701</c:v>
              </c:pt>
              <c:pt idx="52">
                <c:v>6701</c:v>
              </c:pt>
              <c:pt idx="53">
                <c:v>6701</c:v>
              </c:pt>
              <c:pt idx="54">
                <c:v>6701</c:v>
              </c:pt>
              <c:pt idx="55">
                <c:v>6808</c:v>
              </c:pt>
              <c:pt idx="56">
                <c:v>6970</c:v>
              </c:pt>
              <c:pt idx="57">
                <c:v>6170</c:v>
              </c:pt>
              <c:pt idx="58">
                <c:v>6188</c:v>
              </c:pt>
              <c:pt idx="59">
                <c:v>6071</c:v>
              </c:pt>
              <c:pt idx="60">
                <c:v>6073</c:v>
              </c:pt>
            </c:numLit>
          </c:val>
        </c:ser>
        <c:ser>
          <c:idx val="5"/>
          <c:order val="5"/>
          <c:tx>
            <c:v>PRGP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2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8">
                <c:v>125</c:v>
              </c:pt>
              <c:pt idx="9">
                <c:v>227</c:v>
              </c:pt>
              <c:pt idx="10">
                <c:v>250</c:v>
              </c:pt>
              <c:pt idx="11">
                <c:v>227</c:v>
              </c:pt>
              <c:pt idx="12">
                <c:v>125</c:v>
              </c:pt>
              <c:pt idx="13">
                <c:v>125</c:v>
              </c:pt>
              <c:pt idx="14">
                <c:v>125</c:v>
              </c:pt>
              <c:pt idx="15">
                <c:v>125</c:v>
              </c:pt>
              <c:pt idx="16">
                <c:v>227</c:v>
              </c:pt>
              <c:pt idx="17">
                <c:v>227</c:v>
              </c:pt>
              <c:pt idx="18">
                <c:v>125</c:v>
              </c:pt>
              <c:pt idx="19">
                <c:v>125</c:v>
              </c:pt>
              <c:pt idx="20">
                <c:v>412</c:v>
              </c:pt>
              <c:pt idx="21">
                <c:v>153</c:v>
              </c:pt>
              <c:pt idx="22">
                <c:v>125</c:v>
              </c:pt>
              <c:pt idx="23">
                <c:v>125</c:v>
              </c:pt>
              <c:pt idx="24">
                <c:v>125</c:v>
              </c:pt>
              <c:pt idx="25">
                <c:v>410</c:v>
              </c:pt>
              <c:pt idx="36">
                <c:v>287</c:v>
              </c:pt>
              <c:pt idx="37">
                <c:v>574</c:v>
              </c:pt>
              <c:pt idx="38">
                <c:v>482</c:v>
              </c:pt>
              <c:pt idx="39">
                <c:v>149</c:v>
              </c:pt>
              <c:pt idx="40">
                <c:v>183</c:v>
              </c:pt>
              <c:pt idx="43">
                <c:v>247</c:v>
              </c:pt>
              <c:pt idx="44">
                <c:v>247</c:v>
              </c:pt>
              <c:pt idx="45">
                <c:v>247</c:v>
              </c:pt>
              <c:pt idx="46">
                <c:v>247</c:v>
              </c:pt>
              <c:pt idx="47">
                <c:v>247</c:v>
              </c:pt>
              <c:pt idx="48">
                <c:v>247</c:v>
              </c:pt>
              <c:pt idx="49">
                <c:v>247</c:v>
              </c:pt>
              <c:pt idx="50">
                <c:v>247</c:v>
              </c:pt>
              <c:pt idx="51">
                <c:v>247</c:v>
              </c:pt>
              <c:pt idx="52">
                <c:v>247</c:v>
              </c:pt>
              <c:pt idx="53">
                <c:v>247</c:v>
              </c:pt>
              <c:pt idx="54">
                <c:v>247</c:v>
              </c:pt>
              <c:pt idx="55">
                <c:v>247</c:v>
              </c:pt>
              <c:pt idx="56">
                <c:v>247</c:v>
              </c:pt>
              <c:pt idx="57">
                <c:v>247</c:v>
              </c:pt>
              <c:pt idx="58">
                <c:v>247</c:v>
              </c:pt>
              <c:pt idx="59">
                <c:v>247</c:v>
              </c:pt>
              <c:pt idx="60">
                <c:v>247</c:v>
              </c:pt>
            </c:numLit>
          </c:val>
        </c:ser>
        <c:ser>
          <c:idx val="6"/>
          <c:order val="6"/>
          <c:tx>
            <c:v>ROSN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2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0">
                <c:v>592</c:v>
              </c:pt>
              <c:pt idx="1">
                <c:v>592</c:v>
              </c:pt>
              <c:pt idx="2">
                <c:v>976</c:v>
              </c:pt>
              <c:pt idx="3">
                <c:v>976</c:v>
              </c:pt>
              <c:pt idx="4">
                <c:v>976</c:v>
              </c:pt>
              <c:pt idx="5">
                <c:v>976</c:v>
              </c:pt>
              <c:pt idx="6">
                <c:v>1651</c:v>
              </c:pt>
              <c:pt idx="7">
                <c:v>1386</c:v>
              </c:pt>
              <c:pt idx="8">
                <c:v>976</c:v>
              </c:pt>
              <c:pt idx="9">
                <c:v>976</c:v>
              </c:pt>
              <c:pt idx="10">
                <c:v>976</c:v>
              </c:pt>
              <c:pt idx="11">
                <c:v>976</c:v>
              </c:pt>
              <c:pt idx="12">
                <c:v>976</c:v>
              </c:pt>
              <c:pt idx="13">
                <c:v>976</c:v>
              </c:pt>
              <c:pt idx="14">
                <c:v>976</c:v>
              </c:pt>
              <c:pt idx="15">
                <c:v>976</c:v>
              </c:pt>
              <c:pt idx="16">
                <c:v>976</c:v>
              </c:pt>
              <c:pt idx="17">
                <c:v>976</c:v>
              </c:pt>
              <c:pt idx="18">
                <c:v>976</c:v>
              </c:pt>
              <c:pt idx="19">
                <c:v>976</c:v>
              </c:pt>
              <c:pt idx="20">
                <c:v>976</c:v>
              </c:pt>
              <c:pt idx="21">
                <c:v>976</c:v>
              </c:pt>
              <c:pt idx="22">
                <c:v>976</c:v>
              </c:pt>
              <c:pt idx="23">
                <c:v>976</c:v>
              </c:pt>
              <c:pt idx="24">
                <c:v>976</c:v>
              </c:pt>
              <c:pt idx="25">
                <c:v>976</c:v>
              </c:pt>
              <c:pt idx="26">
                <c:v>976</c:v>
              </c:pt>
              <c:pt idx="27">
                <c:v>976</c:v>
              </c:pt>
              <c:pt idx="28">
                <c:v>384</c:v>
              </c:pt>
              <c:pt idx="29">
                <c:v>384</c:v>
              </c:pt>
              <c:pt idx="30">
                <c:v>384</c:v>
              </c:pt>
              <c:pt idx="31">
                <c:v>384</c:v>
              </c:pt>
              <c:pt idx="32">
                <c:v>784</c:v>
              </c:pt>
              <c:pt idx="33">
                <c:v>1229</c:v>
              </c:pt>
              <c:pt idx="34">
                <c:v>1592</c:v>
              </c:pt>
              <c:pt idx="35">
                <c:v>1592</c:v>
              </c:pt>
              <c:pt idx="36">
                <c:v>1592</c:v>
              </c:pt>
              <c:pt idx="37">
                <c:v>1592</c:v>
              </c:pt>
              <c:pt idx="38">
                <c:v>1592</c:v>
              </c:pt>
              <c:pt idx="39">
                <c:v>1592</c:v>
              </c:pt>
              <c:pt idx="40">
                <c:v>1592</c:v>
              </c:pt>
              <c:pt idx="41">
                <c:v>1592</c:v>
              </c:pt>
              <c:pt idx="42">
                <c:v>1592</c:v>
              </c:pt>
              <c:pt idx="43">
                <c:v>1592</c:v>
              </c:pt>
              <c:pt idx="44">
                <c:v>1592</c:v>
              </c:pt>
              <c:pt idx="45">
                <c:v>1592</c:v>
              </c:pt>
              <c:pt idx="46">
                <c:v>1592</c:v>
              </c:pt>
              <c:pt idx="47">
                <c:v>1592</c:v>
              </c:pt>
              <c:pt idx="48">
                <c:v>1592</c:v>
              </c:pt>
              <c:pt idx="49">
                <c:v>1592</c:v>
              </c:pt>
              <c:pt idx="50">
                <c:v>1976</c:v>
              </c:pt>
              <c:pt idx="51">
                <c:v>1976</c:v>
              </c:pt>
              <c:pt idx="52">
                <c:v>1168</c:v>
              </c:pt>
              <c:pt idx="53">
                <c:v>1168</c:v>
              </c:pt>
              <c:pt idx="54">
                <c:v>1168</c:v>
              </c:pt>
              <c:pt idx="55">
                <c:v>1168</c:v>
              </c:pt>
              <c:pt idx="56">
                <c:v>1168</c:v>
              </c:pt>
              <c:pt idx="57">
                <c:v>1168</c:v>
              </c:pt>
              <c:pt idx="58">
                <c:v>1168</c:v>
              </c:pt>
              <c:pt idx="59">
                <c:v>1168</c:v>
              </c:pt>
              <c:pt idx="60">
                <c:v>1168</c:v>
              </c:pt>
            </c:numLit>
          </c:val>
        </c:ser>
        <c:ser>
          <c:idx val="7"/>
          <c:order val="7"/>
          <c:tx>
            <c:v>SARD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2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0">
                <c:v>380</c:v>
              </c:pt>
              <c:pt idx="1">
                <c:v>647</c:v>
              </c:pt>
              <c:pt idx="2">
                <c:v>647</c:v>
              </c:pt>
              <c:pt idx="3">
                <c:v>647</c:v>
              </c:pt>
              <c:pt idx="4">
                <c:v>914</c:v>
              </c:pt>
              <c:pt idx="5">
                <c:v>1014</c:v>
              </c:pt>
              <c:pt idx="6">
                <c:v>914</c:v>
              </c:pt>
              <c:pt idx="7">
                <c:v>914</c:v>
              </c:pt>
              <c:pt idx="8">
                <c:v>914</c:v>
              </c:pt>
              <c:pt idx="9">
                <c:v>914</c:v>
              </c:pt>
              <c:pt idx="10">
                <c:v>914</c:v>
              </c:pt>
              <c:pt idx="11">
                <c:v>914</c:v>
              </c:pt>
              <c:pt idx="12">
                <c:v>914</c:v>
              </c:pt>
              <c:pt idx="13">
                <c:v>914</c:v>
              </c:pt>
              <c:pt idx="14">
                <c:v>914</c:v>
              </c:pt>
              <c:pt idx="15">
                <c:v>914</c:v>
              </c:pt>
              <c:pt idx="16">
                <c:v>672</c:v>
              </c:pt>
              <c:pt idx="17">
                <c:v>672</c:v>
              </c:pt>
              <c:pt idx="18">
                <c:v>672</c:v>
              </c:pt>
              <c:pt idx="19">
                <c:v>672</c:v>
              </c:pt>
              <c:pt idx="20">
                <c:v>534</c:v>
              </c:pt>
              <c:pt idx="21">
                <c:v>534</c:v>
              </c:pt>
              <c:pt idx="22">
                <c:v>534</c:v>
              </c:pt>
              <c:pt idx="23">
                <c:v>534</c:v>
              </c:pt>
              <c:pt idx="24">
                <c:v>534</c:v>
              </c:pt>
              <c:pt idx="25">
                <c:v>534</c:v>
              </c:pt>
              <c:pt idx="26">
                <c:v>534</c:v>
              </c:pt>
              <c:pt idx="27">
                <c:v>534</c:v>
              </c:pt>
              <c:pt idx="28">
                <c:v>534</c:v>
              </c:pt>
              <c:pt idx="29">
                <c:v>534</c:v>
              </c:pt>
              <c:pt idx="30">
                <c:v>267</c:v>
              </c:pt>
              <c:pt idx="31">
                <c:v>267</c:v>
              </c:pt>
              <c:pt idx="32">
                <c:v>267</c:v>
              </c:pt>
              <c:pt idx="33">
                <c:v>267</c:v>
              </c:pt>
              <c:pt idx="34">
                <c:v>414</c:v>
              </c:pt>
              <c:pt idx="35">
                <c:v>267</c:v>
              </c:pt>
              <c:pt idx="36">
                <c:v>267</c:v>
              </c:pt>
              <c:pt idx="37">
                <c:v>534</c:v>
              </c:pt>
              <c:pt idx="38">
                <c:v>267</c:v>
              </c:pt>
              <c:pt idx="39">
                <c:v>267</c:v>
              </c:pt>
              <c:pt idx="40">
                <c:v>267</c:v>
              </c:pt>
              <c:pt idx="41">
                <c:v>267</c:v>
              </c:pt>
              <c:pt idx="42">
                <c:v>267</c:v>
              </c:pt>
              <c:pt idx="43">
                <c:v>267</c:v>
              </c:pt>
            </c:numLit>
          </c:val>
        </c:ser>
        <c:ser>
          <c:idx val="8"/>
          <c:order val="8"/>
          <c:tx>
            <c:v>SICI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2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0">
                <c:v>585</c:v>
              </c:pt>
              <c:pt idx="1">
                <c:v>525</c:v>
              </c:pt>
              <c:pt idx="2">
                <c:v>525</c:v>
              </c:pt>
              <c:pt idx="3">
                <c:v>525</c:v>
              </c:pt>
              <c:pt idx="4">
                <c:v>525</c:v>
              </c:pt>
              <c:pt idx="5">
                <c:v>813</c:v>
              </c:pt>
              <c:pt idx="6">
                <c:v>693</c:v>
              </c:pt>
              <c:pt idx="7">
                <c:v>693</c:v>
              </c:pt>
              <c:pt idx="8">
                <c:v>981</c:v>
              </c:pt>
              <c:pt idx="9">
                <c:v>981</c:v>
              </c:pt>
              <c:pt idx="10">
                <c:v>693</c:v>
              </c:pt>
              <c:pt idx="11">
                <c:v>693</c:v>
              </c:pt>
              <c:pt idx="12">
                <c:v>693</c:v>
              </c:pt>
              <c:pt idx="13">
                <c:v>693</c:v>
              </c:pt>
              <c:pt idx="14">
                <c:v>693</c:v>
              </c:pt>
              <c:pt idx="15">
                <c:v>548</c:v>
              </c:pt>
              <c:pt idx="16">
                <c:v>403</c:v>
              </c:pt>
              <c:pt idx="17">
                <c:v>403</c:v>
              </c:pt>
              <c:pt idx="18">
                <c:v>403</c:v>
              </c:pt>
              <c:pt idx="19">
                <c:v>403</c:v>
              </c:pt>
              <c:pt idx="20">
                <c:v>403</c:v>
              </c:pt>
              <c:pt idx="21">
                <c:v>403</c:v>
              </c:pt>
              <c:pt idx="22">
                <c:v>403</c:v>
              </c:pt>
              <c:pt idx="23">
                <c:v>260</c:v>
              </c:pt>
              <c:pt idx="24">
                <c:v>405</c:v>
              </c:pt>
              <c:pt idx="25">
                <c:v>405</c:v>
              </c:pt>
              <c:pt idx="26">
                <c:v>405</c:v>
              </c:pt>
              <c:pt idx="28">
                <c:v>115</c:v>
              </c:pt>
              <c:pt idx="29">
                <c:v>115</c:v>
              </c:pt>
              <c:pt idx="30">
                <c:v>115</c:v>
              </c:pt>
              <c:pt idx="31">
                <c:v>115</c:v>
              </c:pt>
              <c:pt idx="32">
                <c:v>115</c:v>
              </c:pt>
              <c:pt idx="33">
                <c:v>905</c:v>
              </c:pt>
              <c:pt idx="34">
                <c:v>115</c:v>
              </c:pt>
              <c:pt idx="35">
                <c:v>115</c:v>
              </c:pt>
              <c:pt idx="36">
                <c:v>115</c:v>
              </c:pt>
              <c:pt idx="37">
                <c:v>115</c:v>
              </c:pt>
              <c:pt idx="38">
                <c:v>115</c:v>
              </c:pt>
              <c:pt idx="39">
                <c:v>115</c:v>
              </c:pt>
              <c:pt idx="40">
                <c:v>115</c:v>
              </c:pt>
              <c:pt idx="41">
                <c:v>371</c:v>
              </c:pt>
              <c:pt idx="42">
                <c:v>256</c:v>
              </c:pt>
              <c:pt idx="43">
                <c:v>256</c:v>
              </c:pt>
              <c:pt idx="44">
                <c:v>256</c:v>
              </c:pt>
              <c:pt idx="45">
                <c:v>256</c:v>
              </c:pt>
              <c:pt idx="46">
                <c:v>256</c:v>
              </c:pt>
              <c:pt idx="47">
                <c:v>256</c:v>
              </c:pt>
              <c:pt idx="48">
                <c:v>991</c:v>
              </c:pt>
              <c:pt idx="49">
                <c:v>735</c:v>
              </c:pt>
              <c:pt idx="50">
                <c:v>735</c:v>
              </c:pt>
              <c:pt idx="51">
                <c:v>735</c:v>
              </c:pt>
              <c:pt idx="52">
                <c:v>735</c:v>
              </c:pt>
              <c:pt idx="53">
                <c:v>735</c:v>
              </c:pt>
              <c:pt idx="54">
                <c:v>735</c:v>
              </c:pt>
              <c:pt idx="55">
                <c:v>1023</c:v>
              </c:pt>
              <c:pt idx="56">
                <c:v>1023</c:v>
              </c:pt>
              <c:pt idx="57">
                <c:v>1023</c:v>
              </c:pt>
              <c:pt idx="58">
                <c:v>1023</c:v>
              </c:pt>
              <c:pt idx="59">
                <c:v>1023</c:v>
              </c:pt>
              <c:pt idx="60">
                <c:v>1023</c:v>
              </c:pt>
            </c:numLit>
          </c:val>
        </c:ser>
        <c:ser>
          <c:idx val="9"/>
          <c:order val="9"/>
          <c:tx>
            <c:v>SUD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2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0">
                <c:v>50</c:v>
              </c:pt>
              <c:pt idx="1">
                <c:v>50</c:v>
              </c:pt>
              <c:pt idx="2">
                <c:v>50</c:v>
              </c:pt>
              <c:pt idx="3">
                <c:v>50</c:v>
              </c:pt>
              <c:pt idx="4">
                <c:v>50</c:v>
              </c:pt>
              <c:pt idx="5">
                <c:v>50</c:v>
              </c:pt>
              <c:pt idx="6">
                <c:v>50</c:v>
              </c:pt>
              <c:pt idx="7">
                <c:v>50</c:v>
              </c:pt>
              <c:pt idx="8">
                <c:v>50</c:v>
              </c:pt>
              <c:pt idx="9">
                <c:v>50</c:v>
              </c:pt>
              <c:pt idx="10">
                <c:v>50</c:v>
              </c:pt>
              <c:pt idx="11">
                <c:v>50</c:v>
              </c:pt>
              <c:pt idx="12">
                <c:v>50</c:v>
              </c:pt>
              <c:pt idx="13">
                <c:v>50</c:v>
              </c:pt>
              <c:pt idx="14">
                <c:v>56</c:v>
              </c:pt>
              <c:pt idx="15">
                <c:v>58</c:v>
              </c:pt>
              <c:pt idx="16">
                <c:v>58</c:v>
              </c:pt>
              <c:pt idx="17">
                <c:v>58</c:v>
              </c:pt>
              <c:pt idx="18">
                <c:v>59</c:v>
              </c:pt>
              <c:pt idx="19">
                <c:v>58</c:v>
              </c:pt>
              <c:pt idx="20">
                <c:v>58</c:v>
              </c:pt>
              <c:pt idx="21">
                <c:v>58</c:v>
              </c:pt>
              <c:pt idx="22">
                <c:v>136</c:v>
              </c:pt>
              <c:pt idx="23">
                <c:v>136</c:v>
              </c:pt>
              <c:pt idx="24">
                <c:v>136</c:v>
              </c:pt>
              <c:pt idx="25">
                <c:v>126</c:v>
              </c:pt>
              <c:pt idx="26">
                <c:v>125</c:v>
              </c:pt>
              <c:pt idx="27">
                <c:v>58</c:v>
              </c:pt>
              <c:pt idx="28">
                <c:v>58</c:v>
              </c:pt>
              <c:pt idx="29">
                <c:v>47</c:v>
              </c:pt>
              <c:pt idx="30">
                <c:v>44</c:v>
              </c:pt>
              <c:pt idx="31">
                <c:v>44</c:v>
              </c:pt>
              <c:pt idx="32">
                <c:v>44</c:v>
              </c:pt>
              <c:pt idx="33">
                <c:v>45</c:v>
              </c:pt>
              <c:pt idx="34">
                <c:v>65</c:v>
              </c:pt>
              <c:pt idx="35">
                <c:v>65</c:v>
              </c:pt>
              <c:pt idx="36">
                <c:v>65</c:v>
              </c:pt>
              <c:pt idx="37">
                <c:v>65</c:v>
              </c:pt>
              <c:pt idx="38">
                <c:v>65</c:v>
              </c:pt>
              <c:pt idx="39">
                <c:v>65</c:v>
              </c:pt>
              <c:pt idx="40">
                <c:v>65</c:v>
              </c:pt>
              <c:pt idx="41">
                <c:v>65</c:v>
              </c:pt>
              <c:pt idx="42">
                <c:v>65</c:v>
              </c:pt>
              <c:pt idx="43">
                <c:v>65</c:v>
              </c:pt>
              <c:pt idx="44">
                <c:v>65</c:v>
              </c:pt>
              <c:pt idx="45">
                <c:v>65</c:v>
              </c:pt>
              <c:pt idx="46">
                <c:v>65</c:v>
              </c:pt>
              <c:pt idx="47">
                <c:v>65</c:v>
              </c:pt>
              <c:pt idx="48">
                <c:v>65</c:v>
              </c:pt>
              <c:pt idx="49">
                <c:v>65</c:v>
              </c:pt>
              <c:pt idx="50">
                <c:v>65</c:v>
              </c:pt>
              <c:pt idx="51">
                <c:v>65</c:v>
              </c:pt>
              <c:pt idx="52">
                <c:v>65</c:v>
              </c:pt>
              <c:pt idx="53">
                <c:v>65</c:v>
              </c:pt>
              <c:pt idx="54">
                <c:v>65</c:v>
              </c:pt>
              <c:pt idx="55">
                <c:v>65</c:v>
              </c:pt>
              <c:pt idx="56">
                <c:v>65</c:v>
              </c:pt>
              <c:pt idx="57">
                <c:v>65</c:v>
              </c:pt>
              <c:pt idx="58">
                <c:v>65</c:v>
              </c:pt>
              <c:pt idx="59">
                <c:v>65</c:v>
              </c:pt>
              <c:pt idx="60">
                <c:v>65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>
              <a:solidFill>
                <a:schemeClr val="tx2">
                  <a:alpha val="54000"/>
                </a:schemeClr>
              </a:solidFill>
              <a:prstDash val="dash"/>
            </a:ln>
            <a:effectLst/>
          </c:spPr>
        </c:dropLines>
        <c:axId val="559504816"/>
        <c:axId val="559505208"/>
      </c:areaChart>
      <c:catAx>
        <c:axId val="5595048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7620" cap="flat" cmpd="sng" algn="ctr">
            <a:solidFill>
              <a:schemeClr val="bg1">
                <a:lumMod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5950520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59505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777777"/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59504816"/>
        <c:crosses val="autoZero"/>
        <c:crossBetween val="midCat"/>
        <c:majorUnit val="1000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 cap="rnd">
      <a:solidFill>
        <a:schemeClr val="tx1">
          <a:lumMod val="75000"/>
          <a:lumOff val="2500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it-IT"/>
    </a:p>
  </c:txPr>
  <c:extLst>
    <c:ext xmlns:c15="http://schemas.microsoft.com/office/drawing/2012/chart" uri="{723BEF56-08C2-4564-9609-F4CBC75E7E54}">
      <c15:pivotSource>
        <c15:name>[remit.xlsm]PivotChartTable3</c15:name>
        <c15:fmtId val="0"/>
      </c15:pivotSource>
      <c15:pivotOptions>
        <c15:dropZoneFilter val="1"/>
        <c15:dropZoneCategories val="1"/>
        <c15:dropZoneData val="1"/>
        <c15:dropZoneSeries val="1"/>
      </c15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baseline="0">
                <a:ln w="9525">
                  <a:solidFill>
                    <a:schemeClr val="tx1">
                      <a:lumMod val="85000"/>
                      <a:lumOff val="15000"/>
                    </a:schemeClr>
                  </a:solidFill>
                </a:ln>
                <a:solidFill>
                  <a:schemeClr val="lt1">
                    <a:lumMod val="8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>
                <a:ln w="9525">
                  <a:solidFill>
                    <a:schemeClr val="tx1">
                      <a:lumMod val="85000"/>
                      <a:lumOff val="15000"/>
                    </a:schemeClr>
                  </a:solidFill>
                </a:ln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Termico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baseline="0">
              <a:ln w="9525">
                <a:solidFill>
                  <a:schemeClr val="tx1">
                    <a:lumMod val="85000"/>
                    <a:lumOff val="15000"/>
                  </a:schemeClr>
                </a:solidFill>
              </a:ln>
              <a:solidFill>
                <a:schemeClr val="lt1">
                  <a:lumMod val="8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ln w="13970" cap="rnd">
            <a:solidFill>
              <a:srgbClr val="3D907A"/>
            </a:solidFill>
          </a:ln>
          <a:effectLst>
            <a:glow rad="50800">
              <a:srgbClr val="0F8F40">
                <a:alpha val="22000"/>
              </a:srgbClr>
            </a:glow>
          </a:effectLst>
        </c:spPr>
        <c:marker>
          <c:symbol val="circle"/>
          <c:size val="2"/>
          <c:spPr>
            <a:solidFill>
              <a:schemeClr val="bg2">
                <a:lumMod val="90000"/>
                <a:alpha val="69000"/>
              </a:schemeClr>
            </a:solidFill>
            <a:ln w="2540">
              <a:noFill/>
            </a:ln>
            <a:effectLst>
              <a:glow rad="50800">
                <a:srgbClr val="0F8F40">
                  <a:alpha val="22000"/>
                </a:srgbClr>
              </a:glow>
            </a:effectLst>
          </c:spPr>
        </c:marker>
      </c:pivotFmt>
      <c:pivotFmt>
        <c:idx val="1"/>
        <c:spPr>
          <a:noFill/>
          <a:ln w="13970" cap="rnd" cmpd="sng" algn="ctr">
            <a:solidFill>
              <a:srgbClr val="00B0F0"/>
            </a:solidFill>
            <a:miter lim="800000"/>
          </a:ln>
          <a:effectLst>
            <a:glow rad="50800">
              <a:srgbClr val="00B0F0">
                <a:alpha val="22000"/>
              </a:srgbClr>
            </a:glow>
          </a:effectLst>
        </c:spPr>
        <c:marker>
          <c:symbol val="circle"/>
          <c:size val="2"/>
          <c:spPr>
            <a:solidFill>
              <a:schemeClr val="bg2">
                <a:lumMod val="90000"/>
                <a:alpha val="69000"/>
              </a:schemeClr>
            </a:solidFill>
            <a:ln w="2540">
              <a:noFill/>
            </a:ln>
            <a:effectLst>
              <a:glow rad="50800">
                <a:srgbClr val="00B0F0">
                  <a:alpha val="22000"/>
                </a:srgbClr>
              </a:glow>
            </a:effectLst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Totale</c:v>
          </c:tx>
          <c:spPr>
            <a:ln w="13970" cap="rnd">
              <a:solidFill>
                <a:srgbClr val="3D907A"/>
              </a:solidFill>
            </a:ln>
            <a:effectLst>
              <a:glow rad="50800">
                <a:srgbClr val="0F8F40">
                  <a:alpha val="22000"/>
                </a:srgbClr>
              </a:glow>
            </a:effectLst>
          </c:spPr>
          <c:marker>
            <c:symbol val="circle"/>
            <c:size val="2"/>
            <c:spPr>
              <a:solidFill>
                <a:schemeClr val="bg2">
                  <a:lumMod val="90000"/>
                  <a:alpha val="69000"/>
                </a:schemeClr>
              </a:solidFill>
              <a:ln w="2540">
                <a:noFill/>
              </a:ln>
              <a:effectLst>
                <a:glow rad="50800">
                  <a:srgbClr val="0F8F40">
                    <a:alpha val="22000"/>
                  </a:srgbClr>
                </a:glow>
              </a:effectLst>
            </c:spPr>
          </c:marker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0">
                <c:v>6814</c:v>
              </c:pt>
              <c:pt idx="1">
                <c:v>8381</c:v>
              </c:pt>
              <c:pt idx="2">
                <c:v>8322</c:v>
              </c:pt>
              <c:pt idx="3">
                <c:v>8873</c:v>
              </c:pt>
              <c:pt idx="4">
                <c:v>9779</c:v>
              </c:pt>
              <c:pt idx="5">
                <c:v>9964</c:v>
              </c:pt>
              <c:pt idx="6">
                <c:v>12220</c:v>
              </c:pt>
              <c:pt idx="7">
                <c:v>11354</c:v>
              </c:pt>
              <c:pt idx="8">
                <c:v>12681</c:v>
              </c:pt>
              <c:pt idx="9">
                <c:v>11354</c:v>
              </c:pt>
              <c:pt idx="10">
                <c:v>11090</c:v>
              </c:pt>
              <c:pt idx="11">
                <c:v>10231</c:v>
              </c:pt>
              <c:pt idx="12">
                <c:v>10765</c:v>
              </c:pt>
              <c:pt idx="13">
                <c:v>11968</c:v>
              </c:pt>
              <c:pt idx="14">
                <c:v>11113</c:v>
              </c:pt>
              <c:pt idx="15">
                <c:v>10504</c:v>
              </c:pt>
              <c:pt idx="16">
                <c:v>10131</c:v>
              </c:pt>
              <c:pt idx="17">
                <c:v>10229</c:v>
              </c:pt>
              <c:pt idx="18">
                <c:v>9221</c:v>
              </c:pt>
              <c:pt idx="19">
                <c:v>9185</c:v>
              </c:pt>
              <c:pt idx="20">
                <c:v>11049</c:v>
              </c:pt>
              <c:pt idx="21">
                <c:v>10792</c:v>
              </c:pt>
              <c:pt idx="22">
                <c:v>9879</c:v>
              </c:pt>
              <c:pt idx="23">
                <c:v>11039</c:v>
              </c:pt>
              <c:pt idx="24">
                <c:v>10065</c:v>
              </c:pt>
              <c:pt idx="25">
                <c:v>10000</c:v>
              </c:pt>
              <c:pt idx="26">
                <c:v>9465</c:v>
              </c:pt>
              <c:pt idx="27">
                <c:v>8335</c:v>
              </c:pt>
              <c:pt idx="28">
                <c:v>8351</c:v>
              </c:pt>
              <c:pt idx="29">
                <c:v>7723</c:v>
              </c:pt>
              <c:pt idx="30">
                <c:v>7624</c:v>
              </c:pt>
              <c:pt idx="31">
                <c:v>7624</c:v>
              </c:pt>
              <c:pt idx="32">
                <c:v>8279</c:v>
              </c:pt>
              <c:pt idx="33">
                <c:v>10182</c:v>
              </c:pt>
              <c:pt idx="34">
                <c:v>11519</c:v>
              </c:pt>
              <c:pt idx="35">
                <c:v>10530</c:v>
              </c:pt>
              <c:pt idx="36">
                <c:v>12262</c:v>
              </c:pt>
              <c:pt idx="37">
                <c:v>12479</c:v>
              </c:pt>
              <c:pt idx="38">
                <c:v>12797</c:v>
              </c:pt>
              <c:pt idx="39">
                <c:v>11397</c:v>
              </c:pt>
              <c:pt idx="40">
                <c:v>12096</c:v>
              </c:pt>
              <c:pt idx="41">
                <c:v>11705</c:v>
              </c:pt>
              <c:pt idx="42">
                <c:v>11590</c:v>
              </c:pt>
              <c:pt idx="43">
                <c:v>10575</c:v>
              </c:pt>
              <c:pt idx="44">
                <c:v>10308</c:v>
              </c:pt>
              <c:pt idx="45">
                <c:v>10308</c:v>
              </c:pt>
              <c:pt idx="46">
                <c:v>10308</c:v>
              </c:pt>
              <c:pt idx="47">
                <c:v>10308</c:v>
              </c:pt>
              <c:pt idx="48">
                <c:v>11308</c:v>
              </c:pt>
              <c:pt idx="49">
                <c:v>11052</c:v>
              </c:pt>
              <c:pt idx="50">
                <c:v>12462</c:v>
              </c:pt>
              <c:pt idx="51">
                <c:v>12058</c:v>
              </c:pt>
              <c:pt idx="52">
                <c:v>11250</c:v>
              </c:pt>
              <c:pt idx="53">
                <c:v>11250</c:v>
              </c:pt>
              <c:pt idx="54">
                <c:v>11250</c:v>
              </c:pt>
              <c:pt idx="55">
                <c:v>11888</c:v>
              </c:pt>
              <c:pt idx="56">
                <c:v>12050</c:v>
              </c:pt>
              <c:pt idx="57">
                <c:v>11250</c:v>
              </c:pt>
              <c:pt idx="58">
                <c:v>11250</c:v>
              </c:pt>
              <c:pt idx="59">
                <c:v>11250</c:v>
              </c:pt>
              <c:pt idx="60">
                <c:v>11250</c:v>
              </c:pt>
            </c:numLit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9505992"/>
        <c:axId val="559506384"/>
      </c:lineChart>
      <c:catAx>
        <c:axId val="55950599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bg1">
                      <a:lumMod val="50000"/>
                      <a:alpha val="20000"/>
                    </a:schemeClr>
                  </a:gs>
                  <a:gs pos="0">
                    <a:schemeClr val="tx1">
                      <a:lumMod val="65000"/>
                      <a:lumOff val="35000"/>
                    </a:schemeClr>
                  </a:gs>
                </a:gsLst>
                <a:lin ang="5400000" scaled="1"/>
              </a:gradFill>
              <a:prstDash val="solid"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5950638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5950638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59505992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12700" cap="rnd" cmpd="sng" algn="ctr">
      <a:solidFill>
        <a:schemeClr val="tx1">
          <a:lumMod val="75000"/>
          <a:lumOff val="2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it-IT"/>
    </a:p>
  </c:txPr>
  <c:extLst>
    <c:ext xmlns:c15="http://schemas.microsoft.com/office/drawing/2012/chart" uri="{723BEF56-08C2-4564-9609-F4CBC75E7E54}">
      <c15:pivotSource>
        <c15:name>[remit.xlsm]PivotChartTable4</c15:name>
        <c15:fmtId val="0"/>
      </c15:pivotSource>
      <c15:pivotOptions>
        <c15:dropZoneFilter val="1"/>
        <c15:dropZoneCategories val="1"/>
        <c15:dropZoneData val="1"/>
      </c15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baseline="0">
                <a:ln w="9525">
                  <a:solidFill>
                    <a:schemeClr val="tx1">
                      <a:lumMod val="95000"/>
                      <a:lumOff val="5000"/>
                    </a:schemeClr>
                  </a:solidFill>
                </a:ln>
                <a:solidFill>
                  <a:schemeClr val="lt1">
                    <a:lumMod val="8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>
                <a:ln w="9525">
                  <a:solidFill>
                    <a:schemeClr val="tx1">
                      <a:lumMod val="95000"/>
                      <a:lumOff val="5000"/>
                    </a:schemeClr>
                  </a:solidFill>
                </a:ln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Pompaggi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baseline="0">
              <a:ln w="9525">
                <a:solidFill>
                  <a:schemeClr val="tx1">
                    <a:lumMod val="95000"/>
                    <a:lumOff val="5000"/>
                  </a:schemeClr>
                </a:solidFill>
              </a:ln>
              <a:solidFill>
                <a:schemeClr val="lt1">
                  <a:lumMod val="8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</c:pivotFmt>
      <c:pivotFmt>
        <c:idx val="1"/>
        <c:spPr>
          <a:ln w="13970" cap="rnd">
            <a:solidFill>
              <a:srgbClr val="FB634A"/>
            </a:solidFill>
          </a:ln>
          <a:effectLst>
            <a:glow rad="50800">
              <a:schemeClr val="accent3">
                <a:satMod val="175000"/>
                <a:alpha val="22000"/>
              </a:schemeClr>
            </a:glow>
          </a:effectLst>
        </c:spPr>
        <c:marker>
          <c:symbol val="circle"/>
          <c:size val="2"/>
          <c:spPr>
            <a:solidFill>
              <a:schemeClr val="accent6">
                <a:lumMod val="40000"/>
                <a:lumOff val="60000"/>
                <a:alpha val="69000"/>
              </a:schemeClr>
            </a:solidFill>
            <a:ln>
              <a:noFill/>
            </a:ln>
            <a:effectLst>
              <a:glow rad="50800">
                <a:schemeClr val="accent3">
                  <a:satMod val="175000"/>
                  <a:alpha val="22000"/>
                </a:schemeClr>
              </a:glow>
            </a:effectLst>
          </c:spPr>
        </c:marker>
      </c:pivotFmt>
      <c:pivotFmt>
        <c:idx val="2"/>
        <c:spPr>
          <a:noFill/>
          <a:ln w="13970" cap="rnd" cmpd="sng" algn="ctr">
            <a:solidFill>
              <a:srgbClr val="FB634A"/>
            </a:solidFill>
            <a:miter lim="800000"/>
          </a:ln>
          <a:effectLst>
            <a:glow rad="50800">
              <a:schemeClr val="accent3">
                <a:satMod val="175000"/>
                <a:alpha val="22000"/>
              </a:schemeClr>
            </a:glow>
          </a:effectLst>
        </c:spPr>
        <c:marker>
          <c:symbol val="circle"/>
          <c:size val="2"/>
          <c:spPr>
            <a:solidFill>
              <a:schemeClr val="accent6">
                <a:lumMod val="40000"/>
                <a:lumOff val="60000"/>
                <a:alpha val="69000"/>
              </a:schemeClr>
            </a:solidFill>
            <a:ln>
              <a:noFill/>
            </a:ln>
            <a:effectLst>
              <a:glow rad="50800">
                <a:schemeClr val="accent3">
                  <a:satMod val="175000"/>
                  <a:alpha val="22000"/>
                </a:schemeClr>
              </a:glow>
            </a:effectLst>
          </c:spPr>
        </c:marker>
      </c:pivotFmt>
    </c:pivotFmts>
    <c:plotArea>
      <c:layout/>
      <c:lineChart>
        <c:grouping val="stacked"/>
        <c:varyColors val="0"/>
        <c:ser>
          <c:idx val="0"/>
          <c:order val="0"/>
          <c:tx>
            <c:v>Totale</c:v>
          </c:tx>
          <c:spPr>
            <a:ln w="13970" cap="rnd">
              <a:solidFill>
                <a:srgbClr val="FB634A"/>
              </a:solidFill>
            </a:ln>
            <a:effectLst>
              <a:glow rad="50800">
                <a:schemeClr val="accent3">
                  <a:satMod val="175000"/>
                  <a:alpha val="22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6">
                  <a:lumMod val="40000"/>
                  <a:lumOff val="60000"/>
                  <a:alpha val="69000"/>
                </a:schemeClr>
              </a:solidFill>
              <a:ln>
                <a:noFill/>
              </a:ln>
              <a:effectLst>
                <a:glow rad="50800">
                  <a:schemeClr val="accent3">
                    <a:satMod val="175000"/>
                    <a:alpha val="22000"/>
                  </a:schemeClr>
                </a:glow>
              </a:effectLst>
            </c:spPr>
          </c:marker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0">
                <c:v>1386</c:v>
              </c:pt>
              <c:pt idx="1">
                <c:v>1257</c:v>
              </c:pt>
              <c:pt idx="2">
                <c:v>1158</c:v>
              </c:pt>
              <c:pt idx="3">
                <c:v>1433</c:v>
              </c:pt>
              <c:pt idx="4">
                <c:v>1040</c:v>
              </c:pt>
              <c:pt idx="5">
                <c:v>1183</c:v>
              </c:pt>
              <c:pt idx="6">
                <c:v>870</c:v>
              </c:pt>
              <c:pt idx="7">
                <c:v>870</c:v>
              </c:pt>
              <c:pt idx="8">
                <c:v>2276</c:v>
              </c:pt>
              <c:pt idx="9">
                <c:v>2298</c:v>
              </c:pt>
              <c:pt idx="10">
                <c:v>2464</c:v>
              </c:pt>
              <c:pt idx="11">
                <c:v>2619</c:v>
              </c:pt>
              <c:pt idx="12">
                <c:v>2480</c:v>
              </c:pt>
              <c:pt idx="13">
                <c:v>1753</c:v>
              </c:pt>
              <c:pt idx="14">
                <c:v>1720</c:v>
              </c:pt>
              <c:pt idx="15">
                <c:v>2092</c:v>
              </c:pt>
              <c:pt idx="16">
                <c:v>2668</c:v>
              </c:pt>
              <c:pt idx="17">
                <c:v>2337</c:v>
              </c:pt>
              <c:pt idx="18">
                <c:v>1858</c:v>
              </c:pt>
              <c:pt idx="19">
                <c:v>1792</c:v>
              </c:pt>
              <c:pt idx="20">
                <c:v>1655</c:v>
              </c:pt>
              <c:pt idx="21">
                <c:v>2077</c:v>
              </c:pt>
              <c:pt idx="22">
                <c:v>1998</c:v>
              </c:pt>
              <c:pt idx="23">
                <c:v>1566</c:v>
              </c:pt>
              <c:pt idx="24">
                <c:v>1695</c:v>
              </c:pt>
              <c:pt idx="25">
                <c:v>1558</c:v>
              </c:pt>
              <c:pt idx="26">
                <c:v>1903</c:v>
              </c:pt>
              <c:pt idx="27">
                <c:v>1448</c:v>
              </c:pt>
              <c:pt idx="28">
                <c:v>1603</c:v>
              </c:pt>
              <c:pt idx="29">
                <c:v>1414</c:v>
              </c:pt>
              <c:pt idx="30">
                <c:v>1304</c:v>
              </c:pt>
              <c:pt idx="31">
                <c:v>1796</c:v>
              </c:pt>
              <c:pt idx="32">
                <c:v>1533</c:v>
              </c:pt>
              <c:pt idx="33">
                <c:v>1657</c:v>
              </c:pt>
              <c:pt idx="34">
                <c:v>1280</c:v>
              </c:pt>
              <c:pt idx="35">
                <c:v>1488</c:v>
              </c:pt>
              <c:pt idx="36">
                <c:v>1773</c:v>
              </c:pt>
              <c:pt idx="37">
                <c:v>1713</c:v>
              </c:pt>
              <c:pt idx="38">
                <c:v>2032</c:v>
              </c:pt>
              <c:pt idx="39">
                <c:v>2020</c:v>
              </c:pt>
              <c:pt idx="40">
                <c:v>1938</c:v>
              </c:pt>
              <c:pt idx="41">
                <c:v>1694</c:v>
              </c:pt>
              <c:pt idx="42">
                <c:v>1694</c:v>
              </c:pt>
              <c:pt idx="43">
                <c:v>1971</c:v>
              </c:pt>
              <c:pt idx="44">
                <c:v>2072</c:v>
              </c:pt>
              <c:pt idx="45">
                <c:v>2093</c:v>
              </c:pt>
              <c:pt idx="46">
                <c:v>1980</c:v>
              </c:pt>
              <c:pt idx="47">
                <c:v>1637</c:v>
              </c:pt>
              <c:pt idx="48">
                <c:v>740</c:v>
              </c:pt>
              <c:pt idx="49">
                <c:v>740</c:v>
              </c:pt>
              <c:pt idx="50">
                <c:v>862</c:v>
              </c:pt>
              <c:pt idx="51">
                <c:v>862</c:v>
              </c:pt>
              <c:pt idx="52">
                <c:v>862</c:v>
              </c:pt>
              <c:pt idx="53">
                <c:v>862</c:v>
              </c:pt>
              <c:pt idx="54">
                <c:v>862</c:v>
              </c:pt>
              <c:pt idx="55">
                <c:v>619</c:v>
              </c:pt>
              <c:pt idx="56">
                <c:v>619</c:v>
              </c:pt>
              <c:pt idx="57">
                <c:v>619</c:v>
              </c:pt>
              <c:pt idx="58">
                <c:v>619</c:v>
              </c:pt>
              <c:pt idx="59">
                <c:v>502</c:v>
              </c:pt>
              <c:pt idx="60">
                <c:v>502</c:v>
              </c:pt>
            </c:numLit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9508736"/>
        <c:axId val="559509128"/>
      </c:lineChart>
      <c:catAx>
        <c:axId val="55950873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65000"/>
                      <a:lumOff val="35000"/>
                    </a:schemeClr>
                  </a:gs>
                  <a:gs pos="100000">
                    <a:schemeClr val="bg1">
                      <a:lumMod val="50000"/>
                      <a:alpha val="2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5950912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595091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59508736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12700" cap="rnd" cmpd="sng" algn="ctr">
      <a:solidFill>
        <a:schemeClr val="tx1">
          <a:lumMod val="75000"/>
          <a:lumOff val="2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it-IT"/>
    </a:p>
  </c:txPr>
  <c:extLst>
    <c:ext xmlns:c15="http://schemas.microsoft.com/office/drawing/2012/chart" uri="{723BEF56-08C2-4564-9609-F4CBC75E7E54}">
      <c15:pivotSource>
        <c15:name>[remit.xlsm]PivotChartTable5</c15:name>
        <c15:fmtId val="0"/>
      </c15:pivotSource>
      <c15:pivotOptions>
        <c15:dropZoneFilter val="1"/>
        <c15:dropZoneCategories val="1"/>
        <c15:dropZoneData val="1"/>
      </c15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baseline="0">
                <a:ln w="9525">
                  <a:solidFill>
                    <a:schemeClr val="tx1">
                      <a:lumMod val="85000"/>
                      <a:lumOff val="15000"/>
                    </a:schemeClr>
                  </a:solidFill>
                </a:ln>
                <a:solidFill>
                  <a:schemeClr val="lt1">
                    <a:lumMod val="8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>
                <a:ln w="9525">
                  <a:solidFill>
                    <a:schemeClr val="tx1">
                      <a:lumMod val="85000"/>
                      <a:lumOff val="15000"/>
                    </a:schemeClr>
                  </a:solidFill>
                </a:ln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Idrico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baseline="0">
              <a:ln w="9525">
                <a:solidFill>
                  <a:schemeClr val="tx1">
                    <a:lumMod val="85000"/>
                    <a:lumOff val="15000"/>
                  </a:schemeClr>
                </a:solidFill>
              </a:ln>
              <a:solidFill>
                <a:schemeClr val="lt1">
                  <a:lumMod val="8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ln w="13970" cap="rnd">
            <a:solidFill>
              <a:schemeClr val="bg2">
                <a:lumMod val="75000"/>
              </a:schemeClr>
            </a:solidFill>
          </a:ln>
          <a:effectLst>
            <a:glow rad="38100">
              <a:schemeClr val="bg2">
                <a:lumMod val="75000"/>
                <a:alpha val="22000"/>
              </a:schemeClr>
            </a:glow>
          </a:effectLst>
        </c:spPr>
        <c:marker>
          <c:symbol val="circle"/>
          <c:size val="2"/>
          <c:spPr>
            <a:solidFill>
              <a:schemeClr val="accent4">
                <a:lumMod val="40000"/>
                <a:lumOff val="60000"/>
                <a:alpha val="69000"/>
              </a:schemeClr>
            </a:solidFill>
            <a:ln>
              <a:noFill/>
            </a:ln>
            <a:effectLst>
              <a:glow rad="38100">
                <a:schemeClr val="bg2">
                  <a:lumMod val="75000"/>
                  <a:alpha val="22000"/>
                </a:schemeClr>
              </a:glow>
            </a:effectLst>
          </c:spPr>
        </c:marker>
      </c:pivotFmt>
    </c:pivotFmts>
    <c:plotArea>
      <c:layout/>
      <c:lineChart>
        <c:grouping val="stacked"/>
        <c:varyColors val="0"/>
        <c:ser>
          <c:idx val="0"/>
          <c:order val="0"/>
          <c:tx>
            <c:v>Totale</c:v>
          </c:tx>
          <c:spPr>
            <a:ln w="13970" cap="rnd">
              <a:solidFill>
                <a:schemeClr val="bg2">
                  <a:lumMod val="75000"/>
                </a:schemeClr>
              </a:solidFill>
            </a:ln>
            <a:effectLst>
              <a:glow rad="38100">
                <a:schemeClr val="bg2">
                  <a:lumMod val="75000"/>
                  <a:alpha val="22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4">
                  <a:lumMod val="40000"/>
                  <a:lumOff val="60000"/>
                  <a:alpha val="69000"/>
                </a:schemeClr>
              </a:solidFill>
              <a:ln>
                <a:noFill/>
              </a:ln>
              <a:effectLst>
                <a:glow rad="38100">
                  <a:schemeClr val="bg2">
                    <a:lumMod val="75000"/>
                    <a:alpha val="22000"/>
                  </a:schemeClr>
                </a:glow>
              </a:effectLst>
            </c:spPr>
          </c:marker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0">
                <c:v>297</c:v>
              </c:pt>
              <c:pt idx="1">
                <c:v>417</c:v>
              </c:pt>
              <c:pt idx="2">
                <c:v>587</c:v>
              </c:pt>
              <c:pt idx="3">
                <c:v>588</c:v>
              </c:pt>
              <c:pt idx="4">
                <c:v>588</c:v>
              </c:pt>
              <c:pt idx="5">
                <c:v>588</c:v>
              </c:pt>
              <c:pt idx="6">
                <c:v>700</c:v>
              </c:pt>
              <c:pt idx="7">
                <c:v>740</c:v>
              </c:pt>
              <c:pt idx="8">
                <c:v>604</c:v>
              </c:pt>
              <c:pt idx="9">
                <c:v>604</c:v>
              </c:pt>
              <c:pt idx="10">
                <c:v>604</c:v>
              </c:pt>
              <c:pt idx="11">
                <c:v>468</c:v>
              </c:pt>
              <c:pt idx="12">
                <c:v>467</c:v>
              </c:pt>
              <c:pt idx="13">
                <c:v>306</c:v>
              </c:pt>
              <c:pt idx="14">
                <c:v>303</c:v>
              </c:pt>
              <c:pt idx="15">
                <c:v>307</c:v>
              </c:pt>
              <c:pt idx="16">
                <c:v>403</c:v>
              </c:pt>
              <c:pt idx="17">
                <c:v>307</c:v>
              </c:pt>
              <c:pt idx="18">
                <c:v>309</c:v>
              </c:pt>
              <c:pt idx="19">
                <c:v>418</c:v>
              </c:pt>
              <c:pt idx="20">
                <c:v>308</c:v>
              </c:pt>
              <c:pt idx="21">
                <c:v>308</c:v>
              </c:pt>
              <c:pt idx="22">
                <c:v>450</c:v>
              </c:pt>
              <c:pt idx="23">
                <c:v>558</c:v>
              </c:pt>
              <c:pt idx="24">
                <c:v>336</c:v>
              </c:pt>
              <c:pt idx="25">
                <c:v>326</c:v>
              </c:pt>
              <c:pt idx="26">
                <c:v>293</c:v>
              </c:pt>
              <c:pt idx="27">
                <c:v>252</c:v>
              </c:pt>
              <c:pt idx="28">
                <c:v>252</c:v>
              </c:pt>
              <c:pt idx="29">
                <c:v>241</c:v>
              </c:pt>
              <c:pt idx="30">
                <c:v>238</c:v>
              </c:pt>
              <c:pt idx="31">
                <c:v>238</c:v>
              </c:pt>
              <c:pt idx="32">
                <c:v>348</c:v>
              </c:pt>
              <c:pt idx="33">
                <c:v>239</c:v>
              </c:pt>
              <c:pt idx="34">
                <c:v>259</c:v>
              </c:pt>
              <c:pt idx="35">
                <c:v>259</c:v>
              </c:pt>
              <c:pt idx="36">
                <c:v>259</c:v>
              </c:pt>
              <c:pt idx="37">
                <c:v>147</c:v>
              </c:pt>
              <c:pt idx="38">
                <c:v>147</c:v>
              </c:pt>
              <c:pt idx="39">
                <c:v>147</c:v>
              </c:pt>
              <c:pt idx="40">
                <c:v>147</c:v>
              </c:pt>
              <c:pt idx="41">
                <c:v>147</c:v>
              </c:pt>
              <c:pt idx="42">
                <c:v>147</c:v>
              </c:pt>
              <c:pt idx="43">
                <c:v>257</c:v>
              </c:pt>
              <c:pt idx="44">
                <c:v>257</c:v>
              </c:pt>
              <c:pt idx="45">
                <c:v>310</c:v>
              </c:pt>
              <c:pt idx="46">
                <c:v>200</c:v>
              </c:pt>
              <c:pt idx="47">
                <c:v>200</c:v>
              </c:pt>
              <c:pt idx="48">
                <c:v>147</c:v>
              </c:pt>
              <c:pt idx="49">
                <c:v>147</c:v>
              </c:pt>
              <c:pt idx="50">
                <c:v>147</c:v>
              </c:pt>
              <c:pt idx="51">
                <c:v>147</c:v>
              </c:pt>
              <c:pt idx="52">
                <c:v>147</c:v>
              </c:pt>
              <c:pt idx="53">
                <c:v>147</c:v>
              </c:pt>
              <c:pt idx="54">
                <c:v>147</c:v>
              </c:pt>
              <c:pt idx="55">
                <c:v>147</c:v>
              </c:pt>
              <c:pt idx="56">
                <c:v>147</c:v>
              </c:pt>
              <c:pt idx="57">
                <c:v>147</c:v>
              </c:pt>
              <c:pt idx="58">
                <c:v>165</c:v>
              </c:pt>
              <c:pt idx="59">
                <c:v>165</c:v>
              </c:pt>
              <c:pt idx="60">
                <c:v>167</c:v>
              </c:pt>
            </c:numLit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9510304"/>
        <c:axId val="559510696"/>
      </c:lineChart>
      <c:catAx>
        <c:axId val="55951030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65000"/>
                      <a:lumOff val="35000"/>
                    </a:schemeClr>
                  </a:gs>
                  <a:gs pos="100000">
                    <a:schemeClr val="bg1">
                      <a:lumMod val="50000"/>
                      <a:alpha val="2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59510696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59510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59510304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12700" cap="rnd" cmpd="sng" algn="ctr">
      <a:solidFill>
        <a:schemeClr val="tx1">
          <a:lumMod val="75000"/>
          <a:lumOff val="25000"/>
        </a:schemeClr>
      </a:solidFill>
      <a:round/>
    </a:ln>
    <a:effectLst/>
  </c:spPr>
  <c:txPr>
    <a:bodyPr/>
    <a:lstStyle/>
    <a:p>
      <a:pPr>
        <a:defRPr/>
      </a:pPr>
      <a:endParaRPr lang="it-IT"/>
    </a:p>
  </c:txPr>
  <c:extLst>
    <c:ext xmlns:c15="http://schemas.microsoft.com/office/drawing/2012/chart" uri="{723BEF56-08C2-4564-9609-F4CBC75E7E54}">
      <c15:pivotSource>
        <c15:name>[remit.xlsm]PivotChartTable1</c15:name>
        <c15:fmtId val="0"/>
      </c15:pivotSource>
      <c15:pivotOptions>
        <c15:dropZoneFilter val="1"/>
        <c15:dropZoneCategories val="1"/>
        <c15:dropZoneData val="1"/>
      </c15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baseline="0">
                <a:ln w="9525">
                  <a:solidFill>
                    <a:schemeClr val="tx1">
                      <a:lumMod val="85000"/>
                      <a:lumOff val="15000"/>
                    </a:schemeClr>
                  </a:solidFill>
                </a:ln>
                <a:solidFill>
                  <a:schemeClr val="lt1">
                    <a:lumMod val="8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>
                <a:ln w="9525">
                  <a:solidFill>
                    <a:schemeClr val="tx1">
                      <a:lumMod val="85000"/>
                      <a:lumOff val="15000"/>
                    </a:schemeClr>
                  </a:solidFill>
                </a:ln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Eolico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baseline="0">
              <a:ln w="9525">
                <a:solidFill>
                  <a:schemeClr val="tx1">
                    <a:lumMod val="85000"/>
                    <a:lumOff val="15000"/>
                  </a:schemeClr>
                </a:solidFill>
              </a:ln>
              <a:solidFill>
                <a:schemeClr val="lt1">
                  <a:lumMod val="8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ln w="22225" cap="rnd">
            <a:solidFill>
              <a:schemeClr val="accent5"/>
            </a:solidFill>
          </a:ln>
          <a:effectLst>
            <a:glow rad="50800">
              <a:schemeClr val="accent5">
                <a:satMod val="175000"/>
                <a:alpha val="22000"/>
              </a:schemeClr>
            </a:glow>
          </a:effectLst>
        </c:spPr>
        <c:marker>
          <c:symbol val="circle"/>
          <c:size val="2"/>
          <c:spPr>
            <a:solidFill>
              <a:schemeClr val="accent5">
                <a:lumMod val="40000"/>
                <a:lumOff val="60000"/>
                <a:alpha val="69000"/>
              </a:schemeClr>
            </a:solidFill>
            <a:ln>
              <a:noFill/>
            </a:ln>
            <a:effectLst>
              <a:glow rad="50800">
                <a:schemeClr val="accent5">
                  <a:satMod val="175000"/>
                  <a:alpha val="22000"/>
                </a:schemeClr>
              </a:glow>
            </a:effectLst>
          </c:spPr>
        </c:marker>
      </c:pivotFmt>
    </c:pivotFmts>
    <c:plotArea>
      <c:layout/>
      <c:lineChart>
        <c:grouping val="stacked"/>
        <c:varyColors val="0"/>
        <c:ser>
          <c:idx val="0"/>
          <c:order val="0"/>
          <c:tx>
            <c:v>Totale</c:v>
          </c:tx>
          <c:spPr>
            <a:ln w="22225" cap="rnd">
              <a:solidFill>
                <a:schemeClr val="accent5"/>
              </a:solidFill>
            </a:ln>
            <a:effectLst>
              <a:glow rad="50800">
                <a:schemeClr val="accent5">
                  <a:satMod val="175000"/>
                  <a:alpha val="22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5">
                  <a:lumMod val="40000"/>
                  <a:lumOff val="60000"/>
                  <a:alpha val="69000"/>
                </a:schemeClr>
              </a:solidFill>
              <a:ln>
                <a:noFill/>
              </a:ln>
              <a:effectLst>
                <a:glow rad="50800">
                  <a:schemeClr val="accent5">
                    <a:satMod val="175000"/>
                    <a:alpha val="22000"/>
                  </a:schemeClr>
                </a:glow>
              </a:effectLst>
            </c:spPr>
          </c:marker>
          <c:cat>
            <c:strLit>
              <c:ptCount val="61"/>
              <c:pt idx="0">
                <c:v>01/04/2018</c:v>
              </c:pt>
              <c:pt idx="1">
                <c:v>02/04/2018</c:v>
              </c:pt>
              <c:pt idx="2">
                <c:v>03/04/2018</c:v>
              </c:pt>
              <c:pt idx="3">
                <c:v>04/04/2018</c:v>
              </c:pt>
              <c:pt idx="4">
                <c:v>05/04/2018</c:v>
              </c:pt>
              <c:pt idx="5">
                <c:v>06/04/2018</c:v>
              </c:pt>
              <c:pt idx="6">
                <c:v>07/04/2018</c:v>
              </c:pt>
              <c:pt idx="7">
                <c:v>08/04/2018</c:v>
              </c:pt>
              <c:pt idx="8">
                <c:v>09/04/2018</c:v>
              </c:pt>
              <c:pt idx="9">
                <c:v>10/04/2018</c:v>
              </c:pt>
              <c:pt idx="10">
                <c:v>11/04/2018</c:v>
              </c:pt>
              <c:pt idx="11">
                <c:v>12/04/2018</c:v>
              </c:pt>
              <c:pt idx="12">
                <c:v>13/04/2018</c:v>
              </c:pt>
              <c:pt idx="13">
                <c:v>14/04/2018</c:v>
              </c:pt>
              <c:pt idx="14">
                <c:v>15/04/2018</c:v>
              </c:pt>
              <c:pt idx="15">
                <c:v>16/04/2018</c:v>
              </c:pt>
              <c:pt idx="16">
                <c:v>17/04/2018</c:v>
              </c:pt>
              <c:pt idx="17">
                <c:v>18/04/2018</c:v>
              </c:pt>
              <c:pt idx="18">
                <c:v>19/04/2018</c:v>
              </c:pt>
              <c:pt idx="19">
                <c:v>20/04/2018</c:v>
              </c:pt>
              <c:pt idx="20">
                <c:v>21/04/2018</c:v>
              </c:pt>
              <c:pt idx="21">
                <c:v>22/04/2018</c:v>
              </c:pt>
              <c:pt idx="22">
                <c:v>23/04/2018</c:v>
              </c:pt>
              <c:pt idx="23">
                <c:v>24/04/2018</c:v>
              </c:pt>
              <c:pt idx="24">
                <c:v>25/04/2018</c:v>
              </c:pt>
              <c:pt idx="25">
                <c:v>26/04/2018</c:v>
              </c:pt>
              <c:pt idx="26">
                <c:v>27/04/2018</c:v>
              </c:pt>
              <c:pt idx="27">
                <c:v>28/04/2018</c:v>
              </c:pt>
              <c:pt idx="28">
                <c:v>29/04/2018</c:v>
              </c:pt>
              <c:pt idx="29">
                <c:v>30/04/2018</c:v>
              </c:pt>
              <c:pt idx="30">
                <c:v>01/05/2018</c:v>
              </c:pt>
              <c:pt idx="31">
                <c:v>02/05/2018</c:v>
              </c:pt>
              <c:pt idx="32">
                <c:v>03/05/2018</c:v>
              </c:pt>
              <c:pt idx="33">
                <c:v>04/05/2018</c:v>
              </c:pt>
              <c:pt idx="34">
                <c:v>05/05/2018</c:v>
              </c:pt>
              <c:pt idx="35">
                <c:v>06/05/2018</c:v>
              </c:pt>
              <c:pt idx="36">
                <c:v>07/05/2018</c:v>
              </c:pt>
              <c:pt idx="37">
                <c:v>08/05/2018</c:v>
              </c:pt>
              <c:pt idx="38">
                <c:v>09/05/2018</c:v>
              </c:pt>
              <c:pt idx="39">
                <c:v>10/05/2018</c:v>
              </c:pt>
              <c:pt idx="40">
                <c:v>11/05/2018</c:v>
              </c:pt>
              <c:pt idx="41">
                <c:v>12/05/2018</c:v>
              </c:pt>
              <c:pt idx="42">
                <c:v>13/05/2018</c:v>
              </c:pt>
              <c:pt idx="43">
                <c:v>14/05/2018</c:v>
              </c:pt>
              <c:pt idx="44">
                <c:v>15/05/2018</c:v>
              </c:pt>
              <c:pt idx="45">
                <c:v>16/05/2018</c:v>
              </c:pt>
              <c:pt idx="46">
                <c:v>17/05/2018</c:v>
              </c:pt>
              <c:pt idx="47">
                <c:v>18/05/2018</c:v>
              </c:pt>
              <c:pt idx="48">
                <c:v>19/05/2018</c:v>
              </c:pt>
              <c:pt idx="49">
                <c:v>20/05/2018</c:v>
              </c:pt>
              <c:pt idx="50">
                <c:v>21/05/2018</c:v>
              </c:pt>
              <c:pt idx="51">
                <c:v>22/05/2018</c:v>
              </c:pt>
              <c:pt idx="52">
                <c:v>23/05/2018</c:v>
              </c:pt>
              <c:pt idx="53">
                <c:v>24/05/2018</c:v>
              </c:pt>
              <c:pt idx="54">
                <c:v>25/05/2018</c:v>
              </c:pt>
              <c:pt idx="55">
                <c:v>26/05/2018</c:v>
              </c:pt>
              <c:pt idx="56">
                <c:v>27/05/2018</c:v>
              </c:pt>
              <c:pt idx="57">
                <c:v>28/05/2018</c:v>
              </c:pt>
              <c:pt idx="58">
                <c:v>29/05/2018</c:v>
              </c:pt>
              <c:pt idx="59">
                <c:v>30/05/2018</c:v>
              </c:pt>
              <c:pt idx="60">
                <c:v>31/05/2018</c:v>
              </c:pt>
            </c:strLit>
          </c:cat>
          <c:val>
            <c:numLit>
              <c:formatCode>General</c:formatCode>
              <c:ptCount val="61"/>
              <c:pt idx="16">
                <c:v>138</c:v>
              </c:pt>
              <c:pt idx="17">
                <c:v>138</c:v>
              </c:pt>
              <c:pt idx="18">
                <c:v>138</c:v>
              </c:pt>
              <c:pt idx="19">
                <c:v>138</c:v>
              </c:pt>
              <c:pt idx="22">
                <c:v>79</c:v>
              </c:pt>
              <c:pt idx="23">
                <c:v>79</c:v>
              </c:pt>
              <c:pt idx="24">
                <c:v>79</c:v>
              </c:pt>
              <c:pt idx="25">
                <c:v>79</c:v>
              </c:pt>
              <c:pt idx="26">
                <c:v>79</c:v>
              </c:pt>
            </c:numLit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9511480"/>
        <c:axId val="560022520"/>
      </c:lineChart>
      <c:catAx>
        <c:axId val="55951148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65000"/>
                      <a:lumOff val="35000"/>
                    </a:schemeClr>
                  </a:gs>
                  <a:gs pos="100000">
                    <a:schemeClr val="bg1">
                      <a:lumMod val="50000"/>
                      <a:alpha val="2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60022520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60022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59511480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12700" cap="rnd" cmpd="sng" algn="ctr">
      <a:solidFill>
        <a:schemeClr val="tx1">
          <a:lumMod val="75000"/>
          <a:lumOff val="2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it-IT"/>
    </a:p>
  </c:txPr>
  <c:extLst>
    <c:ext xmlns:c15="http://schemas.microsoft.com/office/drawing/2012/chart" uri="{723BEF56-08C2-4564-9609-F4CBC75E7E54}">
      <c15:pivotSource>
        <c15:name>[remit.xlsm]PivotChartTable6</c15:name>
        <c15:fmtId val="0"/>
      </c15:pivotSource>
      <c15:pivotOptions>
        <c15:dropZoneFilter val="1"/>
        <c15:dropZoneCategories val="1"/>
        <c15:dropZoneData val="1"/>
      </c15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baseline="0">
                <a:ln w="9525">
                  <a:solidFill>
                    <a:schemeClr val="tx1">
                      <a:lumMod val="85000"/>
                      <a:lumOff val="15000"/>
                    </a:schemeClr>
                  </a:solidFill>
                </a:ln>
                <a:solidFill>
                  <a:schemeClr val="lt1">
                    <a:lumMod val="8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it-IT" sz="1600" b="1" i="0" baseline="0">
                <a:ln w="9525">
                  <a:solidFill>
                    <a:schemeClr val="tx1">
                      <a:lumMod val="85000"/>
                      <a:lumOff val="15000"/>
                    </a:schemeClr>
                  </a:solidFill>
                </a:ln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Indisponilità programmata oraria</a:t>
            </a:r>
            <a:endParaRPr lang="it-IT" sz="1600" b="1">
              <a:ln w="9525">
                <a:solidFill>
                  <a:schemeClr val="tx1">
                    <a:lumMod val="85000"/>
                    <a:lumOff val="15000"/>
                  </a:schemeClr>
                </a:solidFill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baseline="0">
              <a:ln w="9525">
                <a:solidFill>
                  <a:schemeClr val="tx1">
                    <a:lumMod val="85000"/>
                    <a:lumOff val="15000"/>
                  </a:schemeClr>
                </a:solidFill>
              </a:ln>
              <a:solidFill>
                <a:schemeClr val="lt1">
                  <a:lumMod val="8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3"/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>
              <a:glow rad="38100">
                <a:schemeClr val="accent2">
                  <a:satMod val="175000"/>
                  <a:alpha val="22000"/>
                </a:schemeClr>
              </a:glow>
            </a:effectLst>
          </c:spPr>
        </c:marker>
      </c:pivotFmt>
      <c:pivotFmt>
        <c:idx val="1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noFill/>
          <a:ln w="22225" cap="rnd" cmpd="sng" algn="ctr">
            <a:solidFill>
              <a:schemeClr val="accent5"/>
            </a:solidFill>
            <a:miter lim="800000"/>
          </a:ln>
          <a:effectLst>
            <a:glow rad="38100">
              <a:schemeClr val="accent5">
                <a:alpha val="22000"/>
              </a:schemeClr>
            </a:glow>
          </a:effectLst>
        </c:spPr>
        <c:marker>
          <c:symbol val="circle"/>
          <c:size val="3"/>
          <c:spPr>
            <a:solidFill>
              <a:schemeClr val="accent5">
                <a:lumMod val="60000"/>
                <a:lumOff val="40000"/>
                <a:alpha val="70000"/>
              </a:schemeClr>
            </a:solidFill>
            <a:ln>
              <a:noFill/>
            </a:ln>
            <a:effectLst>
              <a:glow rad="38100">
                <a:schemeClr val="accent5">
                  <a:alpha val="22000"/>
                </a:schemeClr>
              </a:glow>
            </a:effectLst>
          </c:spPr>
        </c:marker>
      </c:pivotFmt>
      <c:pivotFmt>
        <c:idx val="6"/>
        <c:spPr>
          <a:ln w="22225" cap="rnd">
            <a:solidFill>
              <a:srgbClr val="3D907A"/>
            </a:solidFill>
          </a:ln>
          <a:effectLst>
            <a:glow rad="76200">
              <a:srgbClr val="3D907A">
                <a:alpha val="13725"/>
              </a:srgbClr>
            </a:glow>
          </a:effectLst>
        </c:spPr>
        <c:marker>
          <c:symbol val="circle"/>
          <c:size val="3"/>
          <c:spPr>
            <a:solidFill>
              <a:srgbClr val="5BB9A0"/>
            </a:solidFill>
            <a:ln>
              <a:noFill/>
            </a:ln>
            <a:effectLst>
              <a:glow rad="76200">
                <a:srgbClr val="3D907A">
                  <a:alpha val="13725"/>
                </a:srgbClr>
              </a:glow>
            </a:effectLst>
          </c:spPr>
        </c:marker>
      </c:pivotFmt>
      <c:pivotFmt>
        <c:idx val="7"/>
        <c:spPr>
          <a:noFill/>
          <a:ln w="22225" cap="rnd" cmpd="sng" algn="ctr">
            <a:solidFill>
              <a:schemeClr val="accent4"/>
            </a:solidFill>
            <a:miter lim="800000"/>
          </a:ln>
          <a:effectLst>
            <a:glow rad="38100">
              <a:schemeClr val="accent4">
                <a:satMod val="175000"/>
                <a:alpha val="22000"/>
              </a:schemeClr>
            </a:glow>
          </a:effectLst>
        </c:spPr>
        <c:marker>
          <c:symbol val="circle"/>
          <c:size val="4"/>
          <c:spPr>
            <a:solidFill>
              <a:schemeClr val="accent4">
                <a:lumMod val="40000"/>
                <a:lumOff val="60000"/>
                <a:alpha val="70000"/>
              </a:schemeClr>
            </a:solidFill>
            <a:ln>
              <a:noFill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</c:marker>
      </c:pivotFmt>
      <c:pivotFmt>
        <c:idx val="8"/>
        <c:spPr>
          <a:ln w="22225" cap="rnd">
            <a:solidFill>
              <a:schemeClr val="accent6"/>
            </a:solidFill>
          </a:ln>
          <a:effectLst>
            <a:glow rad="76200">
              <a:schemeClr val="accent6">
                <a:alpha val="14000"/>
              </a:schemeClr>
            </a:glow>
          </a:effectLst>
        </c:spPr>
        <c:marker>
          <c:symbol val="circle"/>
          <c:size val="3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>
              <a:glow rad="76200">
                <a:schemeClr val="accent6">
                  <a:alpha val="14000"/>
                </a:schemeClr>
              </a:glow>
            </a:effectLst>
          </c:spPr>
        </c:marker>
      </c:pivotFmt>
      <c:pivotFmt>
        <c:idx val="9"/>
        <c:spPr>
          <a:ln w="22225" cap="rnd">
            <a:solidFill>
              <a:schemeClr val="bg2">
                <a:lumMod val="75000"/>
              </a:schemeClr>
            </a:solidFill>
          </a:ln>
          <a:effectLst>
            <a:glow rad="76200">
              <a:schemeClr val="bg2">
                <a:lumMod val="90000"/>
                <a:alpha val="14000"/>
              </a:schemeClr>
            </a:glow>
          </a:effectLst>
        </c:spPr>
        <c:marker>
          <c:symbol val="circle"/>
          <c:size val="3"/>
          <c:spPr>
            <a:solidFill>
              <a:schemeClr val="bg2">
                <a:lumMod val="90000"/>
              </a:schemeClr>
            </a:solidFill>
            <a:ln>
              <a:noFill/>
            </a:ln>
            <a:effectLst>
              <a:glow rad="76200">
                <a:schemeClr val="bg2">
                  <a:lumMod val="90000"/>
                  <a:alpha val="14000"/>
                </a:schemeClr>
              </a:glow>
            </a:effectLst>
          </c:spPr>
        </c:marker>
      </c:pivotFmt>
      <c:pivotFmt>
        <c:idx val="10"/>
        <c:spPr>
          <a:ln w="22225" cap="rnd">
            <a:solidFill>
              <a:schemeClr val="accent6"/>
            </a:solidFill>
          </a:ln>
          <a:effectLst>
            <a:glow rad="76200">
              <a:schemeClr val="accent6">
                <a:alpha val="14000"/>
              </a:schemeClr>
            </a:glow>
          </a:effectLst>
        </c:spPr>
        <c:marker>
          <c:symbol val="circle"/>
          <c:size val="3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>
              <a:glow rad="76200">
                <a:schemeClr val="accent6">
                  <a:alpha val="14000"/>
                </a:schemeClr>
              </a:glow>
            </a:effectLst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IDRICO</c:v>
          </c:tx>
          <c:spPr>
            <a:ln w="22225" cap="rnd">
              <a:solidFill>
                <a:schemeClr val="bg2">
                  <a:lumMod val="75000"/>
                </a:schemeClr>
              </a:solidFill>
            </a:ln>
            <a:effectLst>
              <a:glow rad="76200">
                <a:schemeClr val="bg2">
                  <a:lumMod val="90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>
                <a:glow rad="76200">
                  <a:schemeClr val="bg2">
                    <a:lumMod val="90000"/>
                    <a:alpha val="14000"/>
                  </a:schemeClr>
                </a:glow>
              </a:effectLst>
            </c:spPr>
          </c:marker>
          <c:cat>
            <c:strLit>
              <c:ptCount val="96"/>
              <c:pt idx="0">
                <c:v>1
12/05/2018</c:v>
              </c:pt>
              <c:pt idx="1">
                <c:v>2
12/05/2018</c:v>
              </c:pt>
              <c:pt idx="2">
                <c:v>3
12/05/2018</c:v>
              </c:pt>
              <c:pt idx="3">
                <c:v>4
12/05/2018</c:v>
              </c:pt>
              <c:pt idx="4">
                <c:v>5
12/05/2018</c:v>
              </c:pt>
              <c:pt idx="5">
                <c:v>6
12/05/2018</c:v>
              </c:pt>
              <c:pt idx="6">
                <c:v>7
12/05/2018</c:v>
              </c:pt>
              <c:pt idx="7">
                <c:v>8
12/05/2018</c:v>
              </c:pt>
              <c:pt idx="8">
                <c:v>9
12/05/2018</c:v>
              </c:pt>
              <c:pt idx="9">
                <c:v>10
12/05/2018</c:v>
              </c:pt>
              <c:pt idx="10">
                <c:v>11
12/05/2018</c:v>
              </c:pt>
              <c:pt idx="11">
                <c:v>12
12/05/2018</c:v>
              </c:pt>
              <c:pt idx="12">
                <c:v>13
12/05/2018</c:v>
              </c:pt>
              <c:pt idx="13">
                <c:v>14
12/05/2018</c:v>
              </c:pt>
              <c:pt idx="14">
                <c:v>15
12/05/2018</c:v>
              </c:pt>
              <c:pt idx="15">
                <c:v>16
12/05/2018</c:v>
              </c:pt>
              <c:pt idx="16">
                <c:v>17
12/05/2018</c:v>
              </c:pt>
              <c:pt idx="17">
                <c:v>18
12/05/2018</c:v>
              </c:pt>
              <c:pt idx="18">
                <c:v>19
12/05/2018</c:v>
              </c:pt>
              <c:pt idx="19">
                <c:v>20
12/05/2018</c:v>
              </c:pt>
              <c:pt idx="20">
                <c:v>21
12/05/2018</c:v>
              </c:pt>
              <c:pt idx="21">
                <c:v>22
12/05/2018</c:v>
              </c:pt>
              <c:pt idx="22">
                <c:v>23
12/05/2018</c:v>
              </c:pt>
              <c:pt idx="23">
                <c:v>24
12/05/2018</c:v>
              </c:pt>
              <c:pt idx="24">
                <c:v>1
13/05/2018</c:v>
              </c:pt>
              <c:pt idx="25">
                <c:v>2
13/05/2018</c:v>
              </c:pt>
              <c:pt idx="26">
                <c:v>3
13/05/2018</c:v>
              </c:pt>
              <c:pt idx="27">
                <c:v>4
13/05/2018</c:v>
              </c:pt>
              <c:pt idx="28">
                <c:v>5
13/05/2018</c:v>
              </c:pt>
              <c:pt idx="29">
                <c:v>6
13/05/2018</c:v>
              </c:pt>
              <c:pt idx="30">
                <c:v>7
13/05/2018</c:v>
              </c:pt>
              <c:pt idx="31">
                <c:v>8
13/05/2018</c:v>
              </c:pt>
              <c:pt idx="32">
                <c:v>9
13/05/2018</c:v>
              </c:pt>
              <c:pt idx="33">
                <c:v>10
13/05/2018</c:v>
              </c:pt>
              <c:pt idx="34">
                <c:v>11
13/05/2018</c:v>
              </c:pt>
              <c:pt idx="35">
                <c:v>12
13/05/2018</c:v>
              </c:pt>
              <c:pt idx="36">
                <c:v>13
13/05/2018</c:v>
              </c:pt>
              <c:pt idx="37">
                <c:v>14
13/05/2018</c:v>
              </c:pt>
              <c:pt idx="38">
                <c:v>15
13/05/2018</c:v>
              </c:pt>
              <c:pt idx="39">
                <c:v>16
13/05/2018</c:v>
              </c:pt>
              <c:pt idx="40">
                <c:v>17
13/05/2018</c:v>
              </c:pt>
              <c:pt idx="41">
                <c:v>18
13/05/2018</c:v>
              </c:pt>
              <c:pt idx="42">
                <c:v>19
13/05/2018</c:v>
              </c:pt>
              <c:pt idx="43">
                <c:v>20
13/05/2018</c:v>
              </c:pt>
              <c:pt idx="44">
                <c:v>21
13/05/2018</c:v>
              </c:pt>
              <c:pt idx="45">
                <c:v>22
13/05/2018</c:v>
              </c:pt>
              <c:pt idx="46">
                <c:v>23
13/05/2018</c:v>
              </c:pt>
              <c:pt idx="47">
                <c:v>24
13/05/2018</c:v>
              </c:pt>
              <c:pt idx="48">
                <c:v>1
14/05/2018</c:v>
              </c:pt>
              <c:pt idx="49">
                <c:v>2
14/05/2018</c:v>
              </c:pt>
              <c:pt idx="50">
                <c:v>3
14/05/2018</c:v>
              </c:pt>
              <c:pt idx="51">
                <c:v>4
14/05/2018</c:v>
              </c:pt>
              <c:pt idx="52">
                <c:v>5
14/05/2018</c:v>
              </c:pt>
              <c:pt idx="53">
                <c:v>6
14/05/2018</c:v>
              </c:pt>
              <c:pt idx="54">
                <c:v>7
14/05/2018</c:v>
              </c:pt>
              <c:pt idx="55">
                <c:v>8
14/05/2018</c:v>
              </c:pt>
              <c:pt idx="56">
                <c:v>9
14/05/2018</c:v>
              </c:pt>
              <c:pt idx="57">
                <c:v>10
14/05/2018</c:v>
              </c:pt>
              <c:pt idx="58">
                <c:v>11
14/05/2018</c:v>
              </c:pt>
              <c:pt idx="59">
                <c:v>12
14/05/2018</c:v>
              </c:pt>
              <c:pt idx="60">
                <c:v>13
14/05/2018</c:v>
              </c:pt>
              <c:pt idx="61">
                <c:v>14
14/05/2018</c:v>
              </c:pt>
              <c:pt idx="62">
                <c:v>15
14/05/2018</c:v>
              </c:pt>
              <c:pt idx="63">
                <c:v>16
14/05/2018</c:v>
              </c:pt>
              <c:pt idx="64">
                <c:v>17
14/05/2018</c:v>
              </c:pt>
              <c:pt idx="65">
                <c:v>18
14/05/2018</c:v>
              </c:pt>
              <c:pt idx="66">
                <c:v>19
14/05/2018</c:v>
              </c:pt>
              <c:pt idx="67">
                <c:v>20
14/05/2018</c:v>
              </c:pt>
              <c:pt idx="68">
                <c:v>21
14/05/2018</c:v>
              </c:pt>
              <c:pt idx="69">
                <c:v>22
14/05/2018</c:v>
              </c:pt>
              <c:pt idx="70">
                <c:v>23
14/05/2018</c:v>
              </c:pt>
              <c:pt idx="71">
                <c:v>24
14/05/2018</c:v>
              </c:pt>
              <c:pt idx="72">
                <c:v>1
15/05/2018</c:v>
              </c:pt>
              <c:pt idx="73">
                <c:v>2
15/05/2018</c:v>
              </c:pt>
              <c:pt idx="74">
                <c:v>3
15/05/2018</c:v>
              </c:pt>
              <c:pt idx="75">
                <c:v>4
15/05/2018</c:v>
              </c:pt>
              <c:pt idx="76">
                <c:v>5
15/05/2018</c:v>
              </c:pt>
              <c:pt idx="77">
                <c:v>6
15/05/2018</c:v>
              </c:pt>
              <c:pt idx="78">
                <c:v>7
15/05/2018</c:v>
              </c:pt>
              <c:pt idx="79">
                <c:v>8
15/05/2018</c:v>
              </c:pt>
              <c:pt idx="80">
                <c:v>9
15/05/2018</c:v>
              </c:pt>
              <c:pt idx="81">
                <c:v>10
15/05/2018</c:v>
              </c:pt>
              <c:pt idx="82">
                <c:v>11
15/05/2018</c:v>
              </c:pt>
              <c:pt idx="83">
                <c:v>12
15/05/2018</c:v>
              </c:pt>
              <c:pt idx="84">
                <c:v>13
15/05/2018</c:v>
              </c:pt>
              <c:pt idx="85">
                <c:v>14
15/05/2018</c:v>
              </c:pt>
              <c:pt idx="86">
                <c:v>15
15/05/2018</c:v>
              </c:pt>
              <c:pt idx="87">
                <c:v>16
15/05/2018</c:v>
              </c:pt>
              <c:pt idx="88">
                <c:v>17
15/05/2018</c:v>
              </c:pt>
              <c:pt idx="89">
                <c:v>18
15/05/2018</c:v>
              </c:pt>
              <c:pt idx="90">
                <c:v>19
15/05/2018</c:v>
              </c:pt>
              <c:pt idx="91">
                <c:v>20
15/05/2018</c:v>
              </c:pt>
              <c:pt idx="92">
                <c:v>21
15/05/2018</c:v>
              </c:pt>
              <c:pt idx="93">
                <c:v>22
15/05/2018</c:v>
              </c:pt>
              <c:pt idx="94">
                <c:v>23
15/05/2018</c:v>
              </c:pt>
              <c:pt idx="95">
                <c:v>24
15/05/2018</c:v>
              </c:pt>
            </c:strLit>
          </c:cat>
          <c:val>
            <c:numLit>
              <c:formatCode>General</c:formatCode>
              <c:ptCount val="96"/>
              <c:pt idx="0">
                <c:v>721</c:v>
              </c:pt>
              <c:pt idx="1">
                <c:v>721</c:v>
              </c:pt>
              <c:pt idx="2">
                <c:v>721</c:v>
              </c:pt>
              <c:pt idx="3">
                <c:v>721</c:v>
              </c:pt>
              <c:pt idx="4">
                <c:v>721</c:v>
              </c:pt>
              <c:pt idx="5">
                <c:v>721</c:v>
              </c:pt>
              <c:pt idx="6">
                <c:v>721</c:v>
              </c:pt>
              <c:pt idx="7">
                <c:v>721</c:v>
              </c:pt>
              <c:pt idx="8">
                <c:v>721</c:v>
              </c:pt>
              <c:pt idx="9">
                <c:v>721</c:v>
              </c:pt>
              <c:pt idx="10">
                <c:v>721</c:v>
              </c:pt>
              <c:pt idx="11">
                <c:v>721</c:v>
              </c:pt>
              <c:pt idx="12">
                <c:v>721</c:v>
              </c:pt>
              <c:pt idx="13">
                <c:v>721</c:v>
              </c:pt>
              <c:pt idx="14">
                <c:v>721</c:v>
              </c:pt>
              <c:pt idx="15">
                <c:v>721</c:v>
              </c:pt>
              <c:pt idx="16">
                <c:v>721</c:v>
              </c:pt>
              <c:pt idx="17">
                <c:v>721</c:v>
              </c:pt>
              <c:pt idx="18">
                <c:v>721</c:v>
              </c:pt>
              <c:pt idx="19">
                <c:v>721</c:v>
              </c:pt>
              <c:pt idx="20">
                <c:v>721</c:v>
              </c:pt>
              <c:pt idx="21">
                <c:v>721</c:v>
              </c:pt>
              <c:pt idx="22">
                <c:v>721</c:v>
              </c:pt>
              <c:pt idx="23">
                <c:v>721</c:v>
              </c:pt>
              <c:pt idx="24">
                <c:v>721</c:v>
              </c:pt>
              <c:pt idx="25">
                <c:v>721</c:v>
              </c:pt>
              <c:pt idx="26">
                <c:v>721</c:v>
              </c:pt>
              <c:pt idx="27">
                <c:v>721</c:v>
              </c:pt>
              <c:pt idx="28">
                <c:v>721</c:v>
              </c:pt>
              <c:pt idx="29">
                <c:v>721</c:v>
              </c:pt>
              <c:pt idx="30">
                <c:v>721</c:v>
              </c:pt>
              <c:pt idx="31">
                <c:v>721</c:v>
              </c:pt>
              <c:pt idx="32">
                <c:v>721</c:v>
              </c:pt>
              <c:pt idx="33">
                <c:v>721</c:v>
              </c:pt>
              <c:pt idx="34">
                <c:v>721</c:v>
              </c:pt>
              <c:pt idx="35">
                <c:v>721</c:v>
              </c:pt>
              <c:pt idx="36">
                <c:v>721</c:v>
              </c:pt>
              <c:pt idx="37">
                <c:v>721</c:v>
              </c:pt>
              <c:pt idx="38">
                <c:v>721</c:v>
              </c:pt>
              <c:pt idx="39">
                <c:v>721</c:v>
              </c:pt>
              <c:pt idx="40">
                <c:v>721</c:v>
              </c:pt>
              <c:pt idx="41">
                <c:v>721</c:v>
              </c:pt>
              <c:pt idx="42">
                <c:v>721</c:v>
              </c:pt>
              <c:pt idx="43">
                <c:v>721</c:v>
              </c:pt>
              <c:pt idx="44">
                <c:v>721</c:v>
              </c:pt>
              <c:pt idx="45">
                <c:v>721</c:v>
              </c:pt>
              <c:pt idx="46">
                <c:v>721</c:v>
              </c:pt>
              <c:pt idx="47">
                <c:v>721</c:v>
              </c:pt>
              <c:pt idx="48">
                <c:v>721</c:v>
              </c:pt>
              <c:pt idx="49">
                <c:v>721</c:v>
              </c:pt>
              <c:pt idx="50">
                <c:v>831</c:v>
              </c:pt>
              <c:pt idx="51">
                <c:v>831</c:v>
              </c:pt>
              <c:pt idx="52">
                <c:v>831</c:v>
              </c:pt>
              <c:pt idx="53">
                <c:v>831</c:v>
              </c:pt>
              <c:pt idx="54">
                <c:v>831</c:v>
              </c:pt>
              <c:pt idx="55">
                <c:v>1077</c:v>
              </c:pt>
              <c:pt idx="56">
                <c:v>1077</c:v>
              </c:pt>
              <c:pt idx="57">
                <c:v>967</c:v>
              </c:pt>
              <c:pt idx="58">
                <c:v>967</c:v>
              </c:pt>
              <c:pt idx="59">
                <c:v>967</c:v>
              </c:pt>
              <c:pt idx="60">
                <c:v>967</c:v>
              </c:pt>
              <c:pt idx="61">
                <c:v>967</c:v>
              </c:pt>
              <c:pt idx="62">
                <c:v>967</c:v>
              </c:pt>
              <c:pt idx="63">
                <c:v>967</c:v>
              </c:pt>
              <c:pt idx="64">
                <c:v>967</c:v>
              </c:pt>
              <c:pt idx="65">
                <c:v>967</c:v>
              </c:pt>
              <c:pt idx="66">
                <c:v>967</c:v>
              </c:pt>
              <c:pt idx="67">
                <c:v>967</c:v>
              </c:pt>
              <c:pt idx="68">
                <c:v>967</c:v>
              </c:pt>
              <c:pt idx="69">
                <c:v>967</c:v>
              </c:pt>
              <c:pt idx="70">
                <c:v>967</c:v>
              </c:pt>
              <c:pt idx="71">
                <c:v>1077</c:v>
              </c:pt>
              <c:pt idx="72">
                <c:v>1077</c:v>
              </c:pt>
              <c:pt idx="73">
                <c:v>1077</c:v>
              </c:pt>
              <c:pt idx="74">
                <c:v>1077</c:v>
              </c:pt>
              <c:pt idx="75">
                <c:v>1077</c:v>
              </c:pt>
              <c:pt idx="76">
                <c:v>1077</c:v>
              </c:pt>
              <c:pt idx="77">
                <c:v>1077</c:v>
              </c:pt>
              <c:pt idx="78">
                <c:v>1077</c:v>
              </c:pt>
              <c:pt idx="79">
                <c:v>1077</c:v>
              </c:pt>
              <c:pt idx="80">
                <c:v>1077</c:v>
              </c:pt>
              <c:pt idx="81">
                <c:v>967</c:v>
              </c:pt>
              <c:pt idx="82">
                <c:v>967</c:v>
              </c:pt>
              <c:pt idx="83">
                <c:v>967</c:v>
              </c:pt>
              <c:pt idx="84">
                <c:v>967</c:v>
              </c:pt>
              <c:pt idx="85">
                <c:v>967</c:v>
              </c:pt>
              <c:pt idx="86">
                <c:v>967</c:v>
              </c:pt>
              <c:pt idx="87">
                <c:v>967</c:v>
              </c:pt>
              <c:pt idx="88">
                <c:v>967</c:v>
              </c:pt>
              <c:pt idx="89">
                <c:v>803</c:v>
              </c:pt>
              <c:pt idx="90">
                <c:v>803</c:v>
              </c:pt>
              <c:pt idx="91">
                <c:v>803</c:v>
              </c:pt>
              <c:pt idx="92">
                <c:v>803</c:v>
              </c:pt>
              <c:pt idx="93">
                <c:v>803</c:v>
              </c:pt>
              <c:pt idx="94">
                <c:v>803</c:v>
              </c:pt>
              <c:pt idx="95">
                <c:v>913</c:v>
              </c:pt>
            </c:numLit>
          </c:val>
          <c:smooth val="0"/>
        </c:ser>
        <c:ser>
          <c:idx val="1"/>
          <c:order val="1"/>
          <c:tx>
            <c:v>POMPAGGIO</c:v>
          </c:tx>
          <c:spPr>
            <a:ln w="22225" cap="rnd">
              <a:solidFill>
                <a:schemeClr val="accent6"/>
              </a:solidFill>
            </a:ln>
            <a:effectLst>
              <a:glow rad="76200">
                <a:schemeClr val="accent6"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76200">
                  <a:schemeClr val="accent6">
                    <a:alpha val="14000"/>
                  </a:schemeClr>
                </a:glow>
              </a:effectLst>
            </c:spPr>
          </c:marker>
          <c:cat>
            <c:strLit>
              <c:ptCount val="96"/>
              <c:pt idx="0">
                <c:v>1
12/05/2018</c:v>
              </c:pt>
              <c:pt idx="1">
                <c:v>2
12/05/2018</c:v>
              </c:pt>
              <c:pt idx="2">
                <c:v>3
12/05/2018</c:v>
              </c:pt>
              <c:pt idx="3">
                <c:v>4
12/05/2018</c:v>
              </c:pt>
              <c:pt idx="4">
                <c:v>5
12/05/2018</c:v>
              </c:pt>
              <c:pt idx="5">
                <c:v>6
12/05/2018</c:v>
              </c:pt>
              <c:pt idx="6">
                <c:v>7
12/05/2018</c:v>
              </c:pt>
              <c:pt idx="7">
                <c:v>8
12/05/2018</c:v>
              </c:pt>
              <c:pt idx="8">
                <c:v>9
12/05/2018</c:v>
              </c:pt>
              <c:pt idx="9">
                <c:v>10
12/05/2018</c:v>
              </c:pt>
              <c:pt idx="10">
                <c:v>11
12/05/2018</c:v>
              </c:pt>
              <c:pt idx="11">
                <c:v>12
12/05/2018</c:v>
              </c:pt>
              <c:pt idx="12">
                <c:v>13
12/05/2018</c:v>
              </c:pt>
              <c:pt idx="13">
                <c:v>14
12/05/2018</c:v>
              </c:pt>
              <c:pt idx="14">
                <c:v>15
12/05/2018</c:v>
              </c:pt>
              <c:pt idx="15">
                <c:v>16
12/05/2018</c:v>
              </c:pt>
              <c:pt idx="16">
                <c:v>17
12/05/2018</c:v>
              </c:pt>
              <c:pt idx="17">
                <c:v>18
12/05/2018</c:v>
              </c:pt>
              <c:pt idx="18">
                <c:v>19
12/05/2018</c:v>
              </c:pt>
              <c:pt idx="19">
                <c:v>20
12/05/2018</c:v>
              </c:pt>
              <c:pt idx="20">
                <c:v>21
12/05/2018</c:v>
              </c:pt>
              <c:pt idx="21">
                <c:v>22
12/05/2018</c:v>
              </c:pt>
              <c:pt idx="22">
                <c:v>23
12/05/2018</c:v>
              </c:pt>
              <c:pt idx="23">
                <c:v>24
12/05/2018</c:v>
              </c:pt>
              <c:pt idx="24">
                <c:v>1
13/05/2018</c:v>
              </c:pt>
              <c:pt idx="25">
                <c:v>2
13/05/2018</c:v>
              </c:pt>
              <c:pt idx="26">
                <c:v>3
13/05/2018</c:v>
              </c:pt>
              <c:pt idx="27">
                <c:v>4
13/05/2018</c:v>
              </c:pt>
              <c:pt idx="28">
                <c:v>5
13/05/2018</c:v>
              </c:pt>
              <c:pt idx="29">
                <c:v>6
13/05/2018</c:v>
              </c:pt>
              <c:pt idx="30">
                <c:v>7
13/05/2018</c:v>
              </c:pt>
              <c:pt idx="31">
                <c:v>8
13/05/2018</c:v>
              </c:pt>
              <c:pt idx="32">
                <c:v>9
13/05/2018</c:v>
              </c:pt>
              <c:pt idx="33">
                <c:v>10
13/05/2018</c:v>
              </c:pt>
              <c:pt idx="34">
                <c:v>11
13/05/2018</c:v>
              </c:pt>
              <c:pt idx="35">
                <c:v>12
13/05/2018</c:v>
              </c:pt>
              <c:pt idx="36">
                <c:v>13
13/05/2018</c:v>
              </c:pt>
              <c:pt idx="37">
                <c:v>14
13/05/2018</c:v>
              </c:pt>
              <c:pt idx="38">
                <c:v>15
13/05/2018</c:v>
              </c:pt>
              <c:pt idx="39">
                <c:v>16
13/05/2018</c:v>
              </c:pt>
              <c:pt idx="40">
                <c:v>17
13/05/2018</c:v>
              </c:pt>
              <c:pt idx="41">
                <c:v>18
13/05/2018</c:v>
              </c:pt>
              <c:pt idx="42">
                <c:v>19
13/05/2018</c:v>
              </c:pt>
              <c:pt idx="43">
                <c:v>20
13/05/2018</c:v>
              </c:pt>
              <c:pt idx="44">
                <c:v>21
13/05/2018</c:v>
              </c:pt>
              <c:pt idx="45">
                <c:v>22
13/05/2018</c:v>
              </c:pt>
              <c:pt idx="46">
                <c:v>23
13/05/2018</c:v>
              </c:pt>
              <c:pt idx="47">
                <c:v>24
13/05/2018</c:v>
              </c:pt>
              <c:pt idx="48">
                <c:v>1
14/05/2018</c:v>
              </c:pt>
              <c:pt idx="49">
                <c:v>2
14/05/2018</c:v>
              </c:pt>
              <c:pt idx="50">
                <c:v>3
14/05/2018</c:v>
              </c:pt>
              <c:pt idx="51">
                <c:v>4
14/05/2018</c:v>
              </c:pt>
              <c:pt idx="52">
                <c:v>5
14/05/2018</c:v>
              </c:pt>
              <c:pt idx="53">
                <c:v>6
14/05/2018</c:v>
              </c:pt>
              <c:pt idx="54">
                <c:v>7
14/05/2018</c:v>
              </c:pt>
              <c:pt idx="55">
                <c:v>8
14/05/2018</c:v>
              </c:pt>
              <c:pt idx="56">
                <c:v>9
14/05/2018</c:v>
              </c:pt>
              <c:pt idx="57">
                <c:v>10
14/05/2018</c:v>
              </c:pt>
              <c:pt idx="58">
                <c:v>11
14/05/2018</c:v>
              </c:pt>
              <c:pt idx="59">
                <c:v>12
14/05/2018</c:v>
              </c:pt>
              <c:pt idx="60">
                <c:v>13
14/05/2018</c:v>
              </c:pt>
              <c:pt idx="61">
                <c:v>14
14/05/2018</c:v>
              </c:pt>
              <c:pt idx="62">
                <c:v>15
14/05/2018</c:v>
              </c:pt>
              <c:pt idx="63">
                <c:v>16
14/05/2018</c:v>
              </c:pt>
              <c:pt idx="64">
                <c:v>17
14/05/2018</c:v>
              </c:pt>
              <c:pt idx="65">
                <c:v>18
14/05/2018</c:v>
              </c:pt>
              <c:pt idx="66">
                <c:v>19
14/05/2018</c:v>
              </c:pt>
              <c:pt idx="67">
                <c:v>20
14/05/2018</c:v>
              </c:pt>
              <c:pt idx="68">
                <c:v>21
14/05/2018</c:v>
              </c:pt>
              <c:pt idx="69">
                <c:v>22
14/05/2018</c:v>
              </c:pt>
              <c:pt idx="70">
                <c:v>23
14/05/2018</c:v>
              </c:pt>
              <c:pt idx="71">
                <c:v>24
14/05/2018</c:v>
              </c:pt>
              <c:pt idx="72">
                <c:v>1
15/05/2018</c:v>
              </c:pt>
              <c:pt idx="73">
                <c:v>2
15/05/2018</c:v>
              </c:pt>
              <c:pt idx="74">
                <c:v>3
15/05/2018</c:v>
              </c:pt>
              <c:pt idx="75">
                <c:v>4
15/05/2018</c:v>
              </c:pt>
              <c:pt idx="76">
                <c:v>5
15/05/2018</c:v>
              </c:pt>
              <c:pt idx="77">
                <c:v>6
15/05/2018</c:v>
              </c:pt>
              <c:pt idx="78">
                <c:v>7
15/05/2018</c:v>
              </c:pt>
              <c:pt idx="79">
                <c:v>8
15/05/2018</c:v>
              </c:pt>
              <c:pt idx="80">
                <c:v>9
15/05/2018</c:v>
              </c:pt>
              <c:pt idx="81">
                <c:v>10
15/05/2018</c:v>
              </c:pt>
              <c:pt idx="82">
                <c:v>11
15/05/2018</c:v>
              </c:pt>
              <c:pt idx="83">
                <c:v>12
15/05/2018</c:v>
              </c:pt>
              <c:pt idx="84">
                <c:v>13
15/05/2018</c:v>
              </c:pt>
              <c:pt idx="85">
                <c:v>14
15/05/2018</c:v>
              </c:pt>
              <c:pt idx="86">
                <c:v>15
15/05/2018</c:v>
              </c:pt>
              <c:pt idx="87">
                <c:v>16
15/05/2018</c:v>
              </c:pt>
              <c:pt idx="88">
                <c:v>17
15/05/2018</c:v>
              </c:pt>
              <c:pt idx="89">
                <c:v>18
15/05/2018</c:v>
              </c:pt>
              <c:pt idx="90">
                <c:v>19
15/05/2018</c:v>
              </c:pt>
              <c:pt idx="91">
                <c:v>20
15/05/2018</c:v>
              </c:pt>
              <c:pt idx="92">
                <c:v>21
15/05/2018</c:v>
              </c:pt>
              <c:pt idx="93">
                <c:v>22
15/05/2018</c:v>
              </c:pt>
              <c:pt idx="94">
                <c:v>23
15/05/2018</c:v>
              </c:pt>
              <c:pt idx="95">
                <c:v>24
15/05/2018</c:v>
              </c:pt>
            </c:strLit>
          </c:cat>
          <c:val>
            <c:numLit>
              <c:formatCode>General</c:formatCode>
              <c:ptCount val="96"/>
              <c:pt idx="0">
                <c:v>2395</c:v>
              </c:pt>
              <c:pt idx="1">
                <c:v>2395</c:v>
              </c:pt>
              <c:pt idx="2">
                <c:v>2395</c:v>
              </c:pt>
              <c:pt idx="3">
                <c:v>2395</c:v>
              </c:pt>
              <c:pt idx="4">
                <c:v>2396</c:v>
              </c:pt>
              <c:pt idx="5">
                <c:v>2392</c:v>
              </c:pt>
              <c:pt idx="6">
                <c:v>2392</c:v>
              </c:pt>
              <c:pt idx="7">
                <c:v>2392</c:v>
              </c:pt>
              <c:pt idx="8">
                <c:v>2392</c:v>
              </c:pt>
              <c:pt idx="9">
                <c:v>2392</c:v>
              </c:pt>
              <c:pt idx="10">
                <c:v>2392</c:v>
              </c:pt>
              <c:pt idx="11">
                <c:v>2392</c:v>
              </c:pt>
              <c:pt idx="12">
                <c:v>2385</c:v>
              </c:pt>
              <c:pt idx="13">
                <c:v>2383</c:v>
              </c:pt>
              <c:pt idx="14">
                <c:v>2383</c:v>
              </c:pt>
              <c:pt idx="15">
                <c:v>2383</c:v>
              </c:pt>
              <c:pt idx="16">
                <c:v>2383</c:v>
              </c:pt>
              <c:pt idx="17">
                <c:v>2383</c:v>
              </c:pt>
              <c:pt idx="18">
                <c:v>2383</c:v>
              </c:pt>
              <c:pt idx="19">
                <c:v>2386</c:v>
              </c:pt>
              <c:pt idx="20">
                <c:v>2388</c:v>
              </c:pt>
              <c:pt idx="21">
                <c:v>2389</c:v>
              </c:pt>
              <c:pt idx="22">
                <c:v>2393</c:v>
              </c:pt>
              <c:pt idx="23">
                <c:v>2393</c:v>
              </c:pt>
              <c:pt idx="24">
                <c:v>2395</c:v>
              </c:pt>
              <c:pt idx="25">
                <c:v>2395</c:v>
              </c:pt>
              <c:pt idx="26">
                <c:v>2395</c:v>
              </c:pt>
              <c:pt idx="27">
                <c:v>2395</c:v>
              </c:pt>
              <c:pt idx="28">
                <c:v>2393</c:v>
              </c:pt>
              <c:pt idx="29">
                <c:v>2392</c:v>
              </c:pt>
              <c:pt idx="30">
                <c:v>2392</c:v>
              </c:pt>
              <c:pt idx="31">
                <c:v>2392</c:v>
              </c:pt>
              <c:pt idx="32">
                <c:v>2388</c:v>
              </c:pt>
              <c:pt idx="33">
                <c:v>2388</c:v>
              </c:pt>
              <c:pt idx="34">
                <c:v>2388</c:v>
              </c:pt>
              <c:pt idx="35">
                <c:v>2388</c:v>
              </c:pt>
              <c:pt idx="36">
                <c:v>2385</c:v>
              </c:pt>
              <c:pt idx="37">
                <c:v>2383</c:v>
              </c:pt>
              <c:pt idx="38">
                <c:v>2383</c:v>
              </c:pt>
              <c:pt idx="39">
                <c:v>2383</c:v>
              </c:pt>
              <c:pt idx="40">
                <c:v>2383</c:v>
              </c:pt>
              <c:pt idx="41">
                <c:v>2383</c:v>
              </c:pt>
              <c:pt idx="42">
                <c:v>2383</c:v>
              </c:pt>
              <c:pt idx="43">
                <c:v>2386</c:v>
              </c:pt>
              <c:pt idx="44">
                <c:v>2388</c:v>
              </c:pt>
              <c:pt idx="45">
                <c:v>2389</c:v>
              </c:pt>
              <c:pt idx="46">
                <c:v>2393</c:v>
              </c:pt>
              <c:pt idx="47">
                <c:v>2393</c:v>
              </c:pt>
              <c:pt idx="48">
                <c:v>1722</c:v>
              </c:pt>
              <c:pt idx="49">
                <c:v>1722</c:v>
              </c:pt>
              <c:pt idx="50">
                <c:v>1722</c:v>
              </c:pt>
              <c:pt idx="51">
                <c:v>1722</c:v>
              </c:pt>
              <c:pt idx="52">
                <c:v>1722</c:v>
              </c:pt>
              <c:pt idx="53">
                <c:v>1722</c:v>
              </c:pt>
              <c:pt idx="54">
                <c:v>1722</c:v>
              </c:pt>
              <c:pt idx="55">
                <c:v>1722</c:v>
              </c:pt>
              <c:pt idx="56">
                <c:v>2471</c:v>
              </c:pt>
              <c:pt idx="57">
                <c:v>2471</c:v>
              </c:pt>
              <c:pt idx="58">
                <c:v>2471</c:v>
              </c:pt>
              <c:pt idx="59">
                <c:v>2471</c:v>
              </c:pt>
              <c:pt idx="60">
                <c:v>2471</c:v>
              </c:pt>
              <c:pt idx="61">
                <c:v>2471</c:v>
              </c:pt>
              <c:pt idx="62">
                <c:v>2471</c:v>
              </c:pt>
              <c:pt idx="63">
                <c:v>2471</c:v>
              </c:pt>
              <c:pt idx="64">
                <c:v>2471</c:v>
              </c:pt>
              <c:pt idx="65">
                <c:v>2471</c:v>
              </c:pt>
              <c:pt idx="66">
                <c:v>2471</c:v>
              </c:pt>
              <c:pt idx="67">
                <c:v>2471</c:v>
              </c:pt>
              <c:pt idx="68">
                <c:v>2471</c:v>
              </c:pt>
              <c:pt idx="69">
                <c:v>2471</c:v>
              </c:pt>
              <c:pt idx="70">
                <c:v>2471</c:v>
              </c:pt>
              <c:pt idx="71">
                <c:v>2471</c:v>
              </c:pt>
              <c:pt idx="72">
                <c:v>2471</c:v>
              </c:pt>
              <c:pt idx="73">
                <c:v>2471</c:v>
              </c:pt>
              <c:pt idx="74">
                <c:v>2471</c:v>
              </c:pt>
              <c:pt idx="75">
                <c:v>2471</c:v>
              </c:pt>
              <c:pt idx="76">
                <c:v>2471</c:v>
              </c:pt>
              <c:pt idx="77">
                <c:v>2471</c:v>
              </c:pt>
              <c:pt idx="78">
                <c:v>2471</c:v>
              </c:pt>
              <c:pt idx="79">
                <c:v>2471</c:v>
              </c:pt>
              <c:pt idx="80">
                <c:v>2662</c:v>
              </c:pt>
              <c:pt idx="81">
                <c:v>2662</c:v>
              </c:pt>
              <c:pt idx="82">
                <c:v>2662</c:v>
              </c:pt>
              <c:pt idx="83">
                <c:v>2662</c:v>
              </c:pt>
              <c:pt idx="84">
                <c:v>2662</c:v>
              </c:pt>
              <c:pt idx="85">
                <c:v>2662</c:v>
              </c:pt>
              <c:pt idx="86">
                <c:v>2662</c:v>
              </c:pt>
              <c:pt idx="87">
                <c:v>2593</c:v>
              </c:pt>
              <c:pt idx="88">
                <c:v>2593</c:v>
              </c:pt>
              <c:pt idx="89">
                <c:v>2593</c:v>
              </c:pt>
              <c:pt idx="90">
                <c:v>2593</c:v>
              </c:pt>
              <c:pt idx="91">
                <c:v>2593</c:v>
              </c:pt>
              <c:pt idx="92">
                <c:v>2593</c:v>
              </c:pt>
              <c:pt idx="93">
                <c:v>2593</c:v>
              </c:pt>
              <c:pt idx="94">
                <c:v>2593</c:v>
              </c:pt>
              <c:pt idx="95">
                <c:v>2593</c:v>
              </c:pt>
            </c:numLit>
          </c:val>
          <c:smooth val="0"/>
        </c:ser>
        <c:ser>
          <c:idx val="2"/>
          <c:order val="2"/>
          <c:tx>
            <c:v>TERMICO</c:v>
          </c:tx>
          <c:spPr>
            <a:ln w="22225" cap="rnd">
              <a:solidFill>
                <a:srgbClr val="3D907A"/>
              </a:solidFill>
            </a:ln>
            <a:effectLst>
              <a:glow rad="76200">
                <a:srgbClr val="3D907A">
                  <a:alpha val="13725"/>
                </a:srgbClr>
              </a:glow>
            </a:effectLst>
          </c:spPr>
          <c:marker>
            <c:symbol val="circle"/>
            <c:size val="3"/>
            <c:spPr>
              <a:solidFill>
                <a:srgbClr val="5BB9A0"/>
              </a:solidFill>
              <a:ln>
                <a:noFill/>
              </a:ln>
              <a:effectLst>
                <a:glow rad="76200">
                  <a:srgbClr val="3D907A">
                    <a:alpha val="13725"/>
                  </a:srgbClr>
                </a:glow>
              </a:effectLst>
            </c:spPr>
          </c:marker>
          <c:cat>
            <c:strLit>
              <c:ptCount val="96"/>
              <c:pt idx="0">
                <c:v>1
12/05/2018</c:v>
              </c:pt>
              <c:pt idx="1">
                <c:v>2
12/05/2018</c:v>
              </c:pt>
              <c:pt idx="2">
                <c:v>3
12/05/2018</c:v>
              </c:pt>
              <c:pt idx="3">
                <c:v>4
12/05/2018</c:v>
              </c:pt>
              <c:pt idx="4">
                <c:v>5
12/05/2018</c:v>
              </c:pt>
              <c:pt idx="5">
                <c:v>6
12/05/2018</c:v>
              </c:pt>
              <c:pt idx="6">
                <c:v>7
12/05/2018</c:v>
              </c:pt>
              <c:pt idx="7">
                <c:v>8
12/05/2018</c:v>
              </c:pt>
              <c:pt idx="8">
                <c:v>9
12/05/2018</c:v>
              </c:pt>
              <c:pt idx="9">
                <c:v>10
12/05/2018</c:v>
              </c:pt>
              <c:pt idx="10">
                <c:v>11
12/05/2018</c:v>
              </c:pt>
              <c:pt idx="11">
                <c:v>12
12/05/2018</c:v>
              </c:pt>
              <c:pt idx="12">
                <c:v>13
12/05/2018</c:v>
              </c:pt>
              <c:pt idx="13">
                <c:v>14
12/05/2018</c:v>
              </c:pt>
              <c:pt idx="14">
                <c:v>15
12/05/2018</c:v>
              </c:pt>
              <c:pt idx="15">
                <c:v>16
12/05/2018</c:v>
              </c:pt>
              <c:pt idx="16">
                <c:v>17
12/05/2018</c:v>
              </c:pt>
              <c:pt idx="17">
                <c:v>18
12/05/2018</c:v>
              </c:pt>
              <c:pt idx="18">
                <c:v>19
12/05/2018</c:v>
              </c:pt>
              <c:pt idx="19">
                <c:v>20
12/05/2018</c:v>
              </c:pt>
              <c:pt idx="20">
                <c:v>21
12/05/2018</c:v>
              </c:pt>
              <c:pt idx="21">
                <c:v>22
12/05/2018</c:v>
              </c:pt>
              <c:pt idx="22">
                <c:v>23
12/05/2018</c:v>
              </c:pt>
              <c:pt idx="23">
                <c:v>24
12/05/2018</c:v>
              </c:pt>
              <c:pt idx="24">
                <c:v>1
13/05/2018</c:v>
              </c:pt>
              <c:pt idx="25">
                <c:v>2
13/05/2018</c:v>
              </c:pt>
              <c:pt idx="26">
                <c:v>3
13/05/2018</c:v>
              </c:pt>
              <c:pt idx="27">
                <c:v>4
13/05/2018</c:v>
              </c:pt>
              <c:pt idx="28">
                <c:v>5
13/05/2018</c:v>
              </c:pt>
              <c:pt idx="29">
                <c:v>6
13/05/2018</c:v>
              </c:pt>
              <c:pt idx="30">
                <c:v>7
13/05/2018</c:v>
              </c:pt>
              <c:pt idx="31">
                <c:v>8
13/05/2018</c:v>
              </c:pt>
              <c:pt idx="32">
                <c:v>9
13/05/2018</c:v>
              </c:pt>
              <c:pt idx="33">
                <c:v>10
13/05/2018</c:v>
              </c:pt>
              <c:pt idx="34">
                <c:v>11
13/05/2018</c:v>
              </c:pt>
              <c:pt idx="35">
                <c:v>12
13/05/2018</c:v>
              </c:pt>
              <c:pt idx="36">
                <c:v>13
13/05/2018</c:v>
              </c:pt>
              <c:pt idx="37">
                <c:v>14
13/05/2018</c:v>
              </c:pt>
              <c:pt idx="38">
                <c:v>15
13/05/2018</c:v>
              </c:pt>
              <c:pt idx="39">
                <c:v>16
13/05/2018</c:v>
              </c:pt>
              <c:pt idx="40">
                <c:v>17
13/05/2018</c:v>
              </c:pt>
              <c:pt idx="41">
                <c:v>18
13/05/2018</c:v>
              </c:pt>
              <c:pt idx="42">
                <c:v>19
13/05/2018</c:v>
              </c:pt>
              <c:pt idx="43">
                <c:v>20
13/05/2018</c:v>
              </c:pt>
              <c:pt idx="44">
                <c:v>21
13/05/2018</c:v>
              </c:pt>
              <c:pt idx="45">
                <c:v>22
13/05/2018</c:v>
              </c:pt>
              <c:pt idx="46">
                <c:v>23
13/05/2018</c:v>
              </c:pt>
              <c:pt idx="47">
                <c:v>24
13/05/2018</c:v>
              </c:pt>
              <c:pt idx="48">
                <c:v>1
14/05/2018</c:v>
              </c:pt>
              <c:pt idx="49">
                <c:v>2
14/05/2018</c:v>
              </c:pt>
              <c:pt idx="50">
                <c:v>3
14/05/2018</c:v>
              </c:pt>
              <c:pt idx="51">
                <c:v>4
14/05/2018</c:v>
              </c:pt>
              <c:pt idx="52">
                <c:v>5
14/05/2018</c:v>
              </c:pt>
              <c:pt idx="53">
                <c:v>6
14/05/2018</c:v>
              </c:pt>
              <c:pt idx="54">
                <c:v>7
14/05/2018</c:v>
              </c:pt>
              <c:pt idx="55">
                <c:v>8
14/05/2018</c:v>
              </c:pt>
              <c:pt idx="56">
                <c:v>9
14/05/2018</c:v>
              </c:pt>
              <c:pt idx="57">
                <c:v>10
14/05/2018</c:v>
              </c:pt>
              <c:pt idx="58">
                <c:v>11
14/05/2018</c:v>
              </c:pt>
              <c:pt idx="59">
                <c:v>12
14/05/2018</c:v>
              </c:pt>
              <c:pt idx="60">
                <c:v>13
14/05/2018</c:v>
              </c:pt>
              <c:pt idx="61">
                <c:v>14
14/05/2018</c:v>
              </c:pt>
              <c:pt idx="62">
                <c:v>15
14/05/2018</c:v>
              </c:pt>
              <c:pt idx="63">
                <c:v>16
14/05/2018</c:v>
              </c:pt>
              <c:pt idx="64">
                <c:v>17
14/05/2018</c:v>
              </c:pt>
              <c:pt idx="65">
                <c:v>18
14/05/2018</c:v>
              </c:pt>
              <c:pt idx="66">
                <c:v>19
14/05/2018</c:v>
              </c:pt>
              <c:pt idx="67">
                <c:v>20
14/05/2018</c:v>
              </c:pt>
              <c:pt idx="68">
                <c:v>21
14/05/2018</c:v>
              </c:pt>
              <c:pt idx="69">
                <c:v>22
14/05/2018</c:v>
              </c:pt>
              <c:pt idx="70">
                <c:v>23
14/05/2018</c:v>
              </c:pt>
              <c:pt idx="71">
                <c:v>24
14/05/2018</c:v>
              </c:pt>
              <c:pt idx="72">
                <c:v>1
15/05/2018</c:v>
              </c:pt>
              <c:pt idx="73">
                <c:v>2
15/05/2018</c:v>
              </c:pt>
              <c:pt idx="74">
                <c:v>3
15/05/2018</c:v>
              </c:pt>
              <c:pt idx="75">
                <c:v>4
15/05/2018</c:v>
              </c:pt>
              <c:pt idx="76">
                <c:v>5
15/05/2018</c:v>
              </c:pt>
              <c:pt idx="77">
                <c:v>6
15/05/2018</c:v>
              </c:pt>
              <c:pt idx="78">
                <c:v>7
15/05/2018</c:v>
              </c:pt>
              <c:pt idx="79">
                <c:v>8
15/05/2018</c:v>
              </c:pt>
              <c:pt idx="80">
                <c:v>9
15/05/2018</c:v>
              </c:pt>
              <c:pt idx="81">
                <c:v>10
15/05/2018</c:v>
              </c:pt>
              <c:pt idx="82">
                <c:v>11
15/05/2018</c:v>
              </c:pt>
              <c:pt idx="83">
                <c:v>12
15/05/2018</c:v>
              </c:pt>
              <c:pt idx="84">
                <c:v>13
15/05/2018</c:v>
              </c:pt>
              <c:pt idx="85">
                <c:v>14
15/05/2018</c:v>
              </c:pt>
              <c:pt idx="86">
                <c:v>15
15/05/2018</c:v>
              </c:pt>
              <c:pt idx="87">
                <c:v>16
15/05/2018</c:v>
              </c:pt>
              <c:pt idx="88">
                <c:v>17
15/05/2018</c:v>
              </c:pt>
              <c:pt idx="89">
                <c:v>18
15/05/2018</c:v>
              </c:pt>
              <c:pt idx="90">
                <c:v>19
15/05/2018</c:v>
              </c:pt>
              <c:pt idx="91">
                <c:v>20
15/05/2018</c:v>
              </c:pt>
              <c:pt idx="92">
                <c:v>21
15/05/2018</c:v>
              </c:pt>
              <c:pt idx="93">
                <c:v>22
15/05/2018</c:v>
              </c:pt>
              <c:pt idx="94">
                <c:v>23
15/05/2018</c:v>
              </c:pt>
              <c:pt idx="95">
                <c:v>24
15/05/2018</c:v>
              </c:pt>
            </c:strLit>
          </c:cat>
          <c:val>
            <c:numLit>
              <c:formatCode>General</c:formatCode>
              <c:ptCount val="96"/>
              <c:pt idx="0">
                <c:v>12011</c:v>
              </c:pt>
              <c:pt idx="1">
                <c:v>12011</c:v>
              </c:pt>
              <c:pt idx="2">
                <c:v>12011</c:v>
              </c:pt>
              <c:pt idx="3">
                <c:v>12011</c:v>
              </c:pt>
              <c:pt idx="4">
                <c:v>12011</c:v>
              </c:pt>
              <c:pt idx="5">
                <c:v>12011</c:v>
              </c:pt>
              <c:pt idx="6">
                <c:v>12011</c:v>
              </c:pt>
              <c:pt idx="7">
                <c:v>12011</c:v>
              </c:pt>
              <c:pt idx="8">
                <c:v>12011</c:v>
              </c:pt>
              <c:pt idx="9">
                <c:v>12011</c:v>
              </c:pt>
              <c:pt idx="10">
                <c:v>12011</c:v>
              </c:pt>
              <c:pt idx="11">
                <c:v>12011</c:v>
              </c:pt>
              <c:pt idx="12">
                <c:v>12011</c:v>
              </c:pt>
              <c:pt idx="13">
                <c:v>12011</c:v>
              </c:pt>
              <c:pt idx="14">
                <c:v>12011</c:v>
              </c:pt>
              <c:pt idx="15">
                <c:v>12011</c:v>
              </c:pt>
              <c:pt idx="16">
                <c:v>12011</c:v>
              </c:pt>
              <c:pt idx="17">
                <c:v>12011</c:v>
              </c:pt>
              <c:pt idx="18">
                <c:v>12011</c:v>
              </c:pt>
              <c:pt idx="19">
                <c:v>12011</c:v>
              </c:pt>
              <c:pt idx="20">
                <c:v>12011</c:v>
              </c:pt>
              <c:pt idx="21">
                <c:v>12011</c:v>
              </c:pt>
              <c:pt idx="22">
                <c:v>12267</c:v>
              </c:pt>
              <c:pt idx="23">
                <c:v>12267</c:v>
              </c:pt>
              <c:pt idx="24">
                <c:v>12152</c:v>
              </c:pt>
              <c:pt idx="25">
                <c:v>12152</c:v>
              </c:pt>
              <c:pt idx="26">
                <c:v>12152</c:v>
              </c:pt>
              <c:pt idx="27">
                <c:v>12152</c:v>
              </c:pt>
              <c:pt idx="28">
                <c:v>12152</c:v>
              </c:pt>
              <c:pt idx="29">
                <c:v>12152</c:v>
              </c:pt>
              <c:pt idx="30">
                <c:v>12152</c:v>
              </c:pt>
              <c:pt idx="31">
                <c:v>12152</c:v>
              </c:pt>
              <c:pt idx="32">
                <c:v>12152</c:v>
              </c:pt>
              <c:pt idx="33">
                <c:v>12152</c:v>
              </c:pt>
              <c:pt idx="34">
                <c:v>12152</c:v>
              </c:pt>
              <c:pt idx="35">
                <c:v>12152</c:v>
              </c:pt>
              <c:pt idx="36">
                <c:v>12152</c:v>
              </c:pt>
              <c:pt idx="37">
                <c:v>12152</c:v>
              </c:pt>
              <c:pt idx="38">
                <c:v>12152</c:v>
              </c:pt>
              <c:pt idx="39">
                <c:v>12152</c:v>
              </c:pt>
              <c:pt idx="40">
                <c:v>12152</c:v>
              </c:pt>
              <c:pt idx="41">
                <c:v>12152</c:v>
              </c:pt>
              <c:pt idx="42">
                <c:v>12152</c:v>
              </c:pt>
              <c:pt idx="43">
                <c:v>12152</c:v>
              </c:pt>
              <c:pt idx="44">
                <c:v>12152</c:v>
              </c:pt>
              <c:pt idx="45">
                <c:v>12152</c:v>
              </c:pt>
              <c:pt idx="46">
                <c:v>12152</c:v>
              </c:pt>
              <c:pt idx="47">
                <c:v>12152</c:v>
              </c:pt>
              <c:pt idx="48">
                <c:v>11537</c:v>
              </c:pt>
              <c:pt idx="49">
                <c:v>11537</c:v>
              </c:pt>
              <c:pt idx="50">
                <c:v>11537</c:v>
              </c:pt>
              <c:pt idx="51">
                <c:v>11537</c:v>
              </c:pt>
              <c:pt idx="52">
                <c:v>11537</c:v>
              </c:pt>
              <c:pt idx="53">
                <c:v>11537</c:v>
              </c:pt>
              <c:pt idx="54">
                <c:v>11537</c:v>
              </c:pt>
              <c:pt idx="55">
                <c:v>11537</c:v>
              </c:pt>
              <c:pt idx="56">
                <c:v>11537</c:v>
              </c:pt>
              <c:pt idx="57">
                <c:v>11537</c:v>
              </c:pt>
              <c:pt idx="58">
                <c:v>11537</c:v>
              </c:pt>
              <c:pt idx="59">
                <c:v>11537</c:v>
              </c:pt>
              <c:pt idx="60">
                <c:v>11270</c:v>
              </c:pt>
              <c:pt idx="61">
                <c:v>11270</c:v>
              </c:pt>
              <c:pt idx="62">
                <c:v>11270</c:v>
              </c:pt>
              <c:pt idx="63">
                <c:v>11270</c:v>
              </c:pt>
              <c:pt idx="64">
                <c:v>11270</c:v>
              </c:pt>
              <c:pt idx="65">
                <c:v>11270</c:v>
              </c:pt>
              <c:pt idx="66">
                <c:v>11270</c:v>
              </c:pt>
              <c:pt idx="67">
                <c:v>11270</c:v>
              </c:pt>
              <c:pt idx="68">
                <c:v>11270</c:v>
              </c:pt>
              <c:pt idx="69">
                <c:v>11270</c:v>
              </c:pt>
              <c:pt idx="70">
                <c:v>11270</c:v>
              </c:pt>
              <c:pt idx="71">
                <c:v>11270</c:v>
              </c:pt>
              <c:pt idx="72">
                <c:v>11270</c:v>
              </c:pt>
              <c:pt idx="73">
                <c:v>11270</c:v>
              </c:pt>
              <c:pt idx="74">
                <c:v>11270</c:v>
              </c:pt>
              <c:pt idx="75">
                <c:v>11270</c:v>
              </c:pt>
              <c:pt idx="76">
                <c:v>11270</c:v>
              </c:pt>
              <c:pt idx="77">
                <c:v>11270</c:v>
              </c:pt>
              <c:pt idx="78">
                <c:v>11270</c:v>
              </c:pt>
              <c:pt idx="79">
                <c:v>11270</c:v>
              </c:pt>
              <c:pt idx="80">
                <c:v>11270</c:v>
              </c:pt>
              <c:pt idx="81">
                <c:v>11270</c:v>
              </c:pt>
              <c:pt idx="82">
                <c:v>11270</c:v>
              </c:pt>
              <c:pt idx="83">
                <c:v>11270</c:v>
              </c:pt>
              <c:pt idx="84">
                <c:v>11270</c:v>
              </c:pt>
              <c:pt idx="85">
                <c:v>11270</c:v>
              </c:pt>
              <c:pt idx="86">
                <c:v>11270</c:v>
              </c:pt>
              <c:pt idx="87">
                <c:v>11270</c:v>
              </c:pt>
              <c:pt idx="88">
                <c:v>11270</c:v>
              </c:pt>
              <c:pt idx="89">
                <c:v>11270</c:v>
              </c:pt>
              <c:pt idx="90">
                <c:v>11270</c:v>
              </c:pt>
              <c:pt idx="91">
                <c:v>11270</c:v>
              </c:pt>
              <c:pt idx="92">
                <c:v>11270</c:v>
              </c:pt>
              <c:pt idx="93">
                <c:v>11270</c:v>
              </c:pt>
              <c:pt idx="94">
                <c:v>11270</c:v>
              </c:pt>
              <c:pt idx="95">
                <c:v>11270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024088"/>
        <c:axId val="560024480"/>
      </c:lineChart>
      <c:catAx>
        <c:axId val="56002408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tx1">
                      <a:lumMod val="65000"/>
                      <a:lumOff val="35000"/>
                    </a:schemeClr>
                  </a:gs>
                  <a:gs pos="100000">
                    <a:schemeClr val="bg1">
                      <a:lumMod val="50000"/>
                      <a:alpha val="2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60024480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600244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60024088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12700" cap="rnd" cmpd="sng" algn="ctr">
      <a:solidFill>
        <a:schemeClr val="tx1">
          <a:lumMod val="75000"/>
          <a:lumOff val="25000"/>
        </a:schemeClr>
      </a:solidFill>
      <a:round/>
    </a:ln>
    <a:effectLst/>
  </c:spPr>
  <c:txPr>
    <a:bodyPr/>
    <a:lstStyle/>
    <a:p>
      <a:pPr>
        <a:defRPr/>
      </a:pPr>
      <a:endParaRPr lang="it-IT"/>
    </a:p>
  </c:txPr>
  <c:extLst>
    <c:ext xmlns:c15="http://schemas.microsoft.com/office/drawing/2012/chart" uri="{723BEF56-08C2-4564-9609-F4CBC75E7E54}">
      <c15:pivotSource>
        <c15:name>[remit.xlsm]PivotChartTable7</c15:name>
        <c15:fmtId val="0"/>
      </c15:pivotSource>
      <c15:pivotOptions>
        <c15:dropZoneFilter val="1"/>
        <c15:dropZoneCategories val="1"/>
        <c15:dropZoneData val="1"/>
        <c15:dropZoneSeries val="1"/>
      </c15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it-IT" sz="1600" b="1" i="0" baseline="0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Indisponibilità programmata breve </a:t>
            </a:r>
            <a:r>
              <a:rPr lang="it-IT" sz="1600" b="1" i="0" baseline="0">
                <a:ln w="9525">
                  <a:solidFill>
                    <a:schemeClr val="tx1">
                      <a:lumMod val="85000"/>
                      <a:lumOff val="15000"/>
                    </a:schemeClr>
                  </a:solidFill>
                </a:ln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periodo</a:t>
            </a:r>
            <a:endParaRPr lang="it-IT" sz="1600">
              <a:ln w="9525">
                <a:solidFill>
                  <a:schemeClr val="tx1">
                    <a:lumMod val="85000"/>
                    <a:lumOff val="15000"/>
                  </a:schemeClr>
                </a:solidFill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2"/>
            </a:solidFill>
          </a:ln>
          <a:effectLst>
            <a:glow rad="50800">
              <a:schemeClr val="accent5">
                <a:satMod val="175000"/>
                <a:alpha val="40000"/>
              </a:schemeClr>
            </a:glow>
          </a:effectLst>
        </c:spPr>
        <c:marker>
          <c:symbol val="none"/>
        </c:marker>
      </c:pivotFmt>
      <c:pivotFmt>
        <c:idx val="5"/>
        <c:spPr>
          <a:solidFill>
            <a:schemeClr val="accent4"/>
          </a:solidFill>
          <a:ln>
            <a:noFill/>
          </a:ln>
          <a:effectLst>
            <a:glow rad="50800">
              <a:schemeClr val="accent4">
                <a:satMod val="175000"/>
                <a:alpha val="40000"/>
              </a:schemeClr>
            </a:glow>
          </a:effectLst>
        </c:spPr>
        <c:marker>
          <c:symbol val="none"/>
        </c:marker>
      </c:pivotFmt>
      <c:pivotFmt>
        <c:idx val="6"/>
        <c:spPr>
          <a:solidFill>
            <a:schemeClr val="accent6"/>
          </a:solidFill>
          <a:ln w="8255">
            <a:solidFill>
              <a:schemeClr val="tx1">
                <a:lumMod val="75000"/>
                <a:lumOff val="25000"/>
              </a:schemeClr>
            </a:solidFill>
          </a:ln>
          <a:effectLst>
            <a:glow rad="50800">
              <a:schemeClr val="accent3">
                <a:satMod val="175000"/>
                <a:alpha val="40000"/>
              </a:schemeClr>
            </a:glow>
          </a:effectLst>
        </c:spPr>
        <c:marker>
          <c:symbol val="none"/>
        </c:marker>
      </c:pivotFmt>
      <c:pivotFmt>
        <c:idx val="7"/>
        <c:spPr>
          <a:solidFill>
            <a:srgbClr val="398773"/>
          </a:solidFill>
          <a:ln w="8255" cmpd="sng">
            <a:solidFill>
              <a:schemeClr val="tx1">
                <a:lumMod val="75000"/>
                <a:lumOff val="25000"/>
              </a:schemeClr>
            </a:solidFill>
          </a:ln>
          <a:effectLst>
            <a:glow rad="50800">
              <a:srgbClr val="3D907A">
                <a:alpha val="40000"/>
              </a:srgbClr>
            </a:glow>
          </a:effectLst>
        </c:spPr>
        <c:marker>
          <c:symbol val="none"/>
        </c:marker>
      </c:pivotFmt>
      <c:pivotFmt>
        <c:idx val="8"/>
        <c:spPr>
          <a:solidFill>
            <a:schemeClr val="bg2">
              <a:lumMod val="75000"/>
            </a:schemeClr>
          </a:solidFill>
          <a:ln w="8255">
            <a:solidFill>
              <a:schemeClr val="tx1">
                <a:lumMod val="75000"/>
                <a:lumOff val="25000"/>
              </a:schemeClr>
            </a:solidFill>
          </a:ln>
          <a:effectLst>
            <a:glow rad="50800">
              <a:schemeClr val="bg2">
                <a:lumMod val="75000"/>
                <a:alpha val="40000"/>
              </a:schemeClr>
            </a:glow>
          </a:effectLst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v>IDRICO</c:v>
          </c:tx>
          <c:spPr>
            <a:solidFill>
              <a:schemeClr val="bg2">
                <a:lumMod val="75000"/>
              </a:schemeClr>
            </a:solidFill>
            <a:ln w="8255">
              <a:solidFill>
                <a:schemeClr val="tx1">
                  <a:lumMod val="75000"/>
                  <a:lumOff val="25000"/>
                </a:schemeClr>
              </a:solidFill>
            </a:ln>
            <a:effectLst>
              <a:glow rad="50800">
                <a:schemeClr val="bg2">
                  <a:lumMod val="75000"/>
                  <a:alpha val="40000"/>
                </a:schemeClr>
              </a:glow>
            </a:effectLst>
          </c:spPr>
          <c:invertIfNegative val="0"/>
          <c:cat>
            <c:strLit>
              <c:ptCount val="5"/>
              <c:pt idx="0">
                <c:v>12/05/2018</c:v>
              </c:pt>
              <c:pt idx="1">
                <c:v>13/05/2018</c:v>
              </c:pt>
              <c:pt idx="2">
                <c:v>14/05/2018</c:v>
              </c:pt>
              <c:pt idx="3">
                <c:v>15/05/2018</c:v>
              </c:pt>
              <c:pt idx="4">
                <c:v>16/05/2018</c:v>
              </c:pt>
            </c:strLit>
          </c:cat>
          <c:val>
            <c:numLit>
              <c:formatCode>General</c:formatCode>
              <c:ptCount val="5"/>
              <c:pt idx="0">
                <c:v>147</c:v>
              </c:pt>
              <c:pt idx="1">
                <c:v>147</c:v>
              </c:pt>
              <c:pt idx="2">
                <c:v>257</c:v>
              </c:pt>
              <c:pt idx="3">
                <c:v>257</c:v>
              </c:pt>
              <c:pt idx="4">
                <c:v>310</c:v>
              </c:pt>
            </c:numLit>
          </c:val>
        </c:ser>
        <c:ser>
          <c:idx val="1"/>
          <c:order val="1"/>
          <c:tx>
            <c:v>POMPAGGIO</c:v>
          </c:tx>
          <c:spPr>
            <a:solidFill>
              <a:schemeClr val="accent6"/>
            </a:solidFill>
            <a:ln w="8255">
              <a:solidFill>
                <a:schemeClr val="tx1">
                  <a:lumMod val="75000"/>
                  <a:lumOff val="25000"/>
                </a:schemeClr>
              </a:solidFill>
            </a:ln>
            <a:effectLst>
              <a:glow rad="50800">
                <a:schemeClr val="accent3">
                  <a:satMod val="175000"/>
                  <a:alpha val="40000"/>
                </a:schemeClr>
              </a:glow>
            </a:effectLst>
          </c:spPr>
          <c:invertIfNegative val="0"/>
          <c:cat>
            <c:strLit>
              <c:ptCount val="5"/>
              <c:pt idx="0">
                <c:v>12/05/2018</c:v>
              </c:pt>
              <c:pt idx="1">
                <c:v>13/05/2018</c:v>
              </c:pt>
              <c:pt idx="2">
                <c:v>14/05/2018</c:v>
              </c:pt>
              <c:pt idx="3">
                <c:v>15/05/2018</c:v>
              </c:pt>
              <c:pt idx="4">
                <c:v>16/05/2018</c:v>
              </c:pt>
            </c:strLit>
          </c:cat>
          <c:val>
            <c:numLit>
              <c:formatCode>General</c:formatCode>
              <c:ptCount val="5"/>
              <c:pt idx="0">
                <c:v>1694</c:v>
              </c:pt>
              <c:pt idx="1">
                <c:v>1694</c:v>
              </c:pt>
              <c:pt idx="2">
                <c:v>1971</c:v>
              </c:pt>
              <c:pt idx="3">
                <c:v>2072</c:v>
              </c:pt>
              <c:pt idx="4">
                <c:v>2093</c:v>
              </c:pt>
            </c:numLit>
          </c:val>
        </c:ser>
        <c:ser>
          <c:idx val="2"/>
          <c:order val="2"/>
          <c:tx>
            <c:v>TERMICO</c:v>
          </c:tx>
          <c:spPr>
            <a:solidFill>
              <a:srgbClr val="398773"/>
            </a:solidFill>
            <a:ln w="8255" cmpd="sng">
              <a:solidFill>
                <a:schemeClr val="tx1">
                  <a:lumMod val="75000"/>
                  <a:lumOff val="25000"/>
                </a:schemeClr>
              </a:solidFill>
            </a:ln>
            <a:effectLst>
              <a:glow rad="50800">
                <a:srgbClr val="3D907A">
                  <a:alpha val="40000"/>
                </a:srgbClr>
              </a:glow>
            </a:effectLst>
          </c:spPr>
          <c:invertIfNegative val="0"/>
          <c:cat>
            <c:strLit>
              <c:ptCount val="5"/>
              <c:pt idx="0">
                <c:v>12/05/2018</c:v>
              </c:pt>
              <c:pt idx="1">
                <c:v>13/05/2018</c:v>
              </c:pt>
              <c:pt idx="2">
                <c:v>14/05/2018</c:v>
              </c:pt>
              <c:pt idx="3">
                <c:v>15/05/2018</c:v>
              </c:pt>
              <c:pt idx="4">
                <c:v>16/05/2018</c:v>
              </c:pt>
            </c:strLit>
          </c:cat>
          <c:val>
            <c:numLit>
              <c:formatCode>General</c:formatCode>
              <c:ptCount val="5"/>
              <c:pt idx="0">
                <c:v>11705</c:v>
              </c:pt>
              <c:pt idx="1">
                <c:v>11590</c:v>
              </c:pt>
              <c:pt idx="2">
                <c:v>10575</c:v>
              </c:pt>
              <c:pt idx="3">
                <c:v>10308</c:v>
              </c:pt>
              <c:pt idx="4">
                <c:v>10308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0025264"/>
        <c:axId val="560025656"/>
      </c:barChart>
      <c:catAx>
        <c:axId val="560025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60025656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60025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60025264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50000"/>
                <a:lumOff val="5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12700" cap="rnd">
      <a:solidFill>
        <a:schemeClr val="tx1">
          <a:lumMod val="75000"/>
          <a:lumOff val="2500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it-IT"/>
    </a:p>
  </c:txPr>
  <c:extLst>
    <c:ext xmlns:c15="http://schemas.microsoft.com/office/drawing/2012/chart" uri="{723BEF56-08C2-4564-9609-F4CBC75E7E54}">
      <c15:pivotSource>
        <c15:name>[remit.xlsm]PivotChartTable8</c15:name>
        <c15:fmtId val="0"/>
      </c15:pivotSource>
      <c15:pivotOptions>
        <c15:dropZoneFilter val="1"/>
        <c15:dropZoneCategories val="1"/>
        <c15:dropZoneData val="1"/>
      </c15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143187</xdr:colOff>
      <xdr:row>0</xdr:row>
      <xdr:rowOff>98425</xdr:rowOff>
    </xdr:from>
    <xdr:to>
      <xdr:col>15</xdr:col>
      <xdr:colOff>503187</xdr:colOff>
      <xdr:row>19</xdr:row>
      <xdr:rowOff>64525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143187</xdr:colOff>
      <xdr:row>19</xdr:row>
      <xdr:rowOff>189367</xdr:rowOff>
    </xdr:from>
    <xdr:to>
      <xdr:col>15</xdr:col>
      <xdr:colOff>503187</xdr:colOff>
      <xdr:row>39</xdr:row>
      <xdr:rowOff>87367</xdr:rowOff>
    </xdr:to>
    <xdr:graphicFrame macro="">
      <xdr:nvGraphicFramePr>
        <xdr:cNvPr id="4" name="Gra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143187</xdr:colOff>
      <xdr:row>41</xdr:row>
      <xdr:rowOff>38100</xdr:rowOff>
    </xdr:from>
    <xdr:to>
      <xdr:col>7</xdr:col>
      <xdr:colOff>555987</xdr:colOff>
      <xdr:row>59</xdr:row>
      <xdr:rowOff>29100</xdr:rowOff>
    </xdr:to>
    <xdr:graphicFrame macro="">
      <xdr:nvGraphicFramePr>
        <xdr:cNvPr id="5" name="Gra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90387</xdr:colOff>
      <xdr:row>41</xdr:row>
      <xdr:rowOff>38100</xdr:rowOff>
    </xdr:from>
    <xdr:to>
      <xdr:col>15</xdr:col>
      <xdr:colOff>503187</xdr:colOff>
      <xdr:row>59</xdr:row>
      <xdr:rowOff>29100</xdr:rowOff>
    </xdr:to>
    <xdr:graphicFrame macro="">
      <xdr:nvGraphicFramePr>
        <xdr:cNvPr id="6" name="Gra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143187</xdr:colOff>
      <xdr:row>60</xdr:row>
      <xdr:rowOff>46263</xdr:rowOff>
    </xdr:from>
    <xdr:to>
      <xdr:col>7</xdr:col>
      <xdr:colOff>555987</xdr:colOff>
      <xdr:row>78</xdr:row>
      <xdr:rowOff>37263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90387</xdr:colOff>
      <xdr:row>60</xdr:row>
      <xdr:rowOff>36738</xdr:rowOff>
    </xdr:from>
    <xdr:to>
      <xdr:col>15</xdr:col>
      <xdr:colOff>503187</xdr:colOff>
      <xdr:row>78</xdr:row>
      <xdr:rowOff>27738</xdr:rowOff>
    </xdr:to>
    <xdr:graphicFrame macro="">
      <xdr:nvGraphicFramePr>
        <xdr:cNvPr id="7" name="Gra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95562</xdr:colOff>
      <xdr:row>80</xdr:row>
      <xdr:rowOff>107949</xdr:rowOff>
    </xdr:from>
    <xdr:to>
      <xdr:col>15</xdr:col>
      <xdr:colOff>455562</xdr:colOff>
      <xdr:row>100</xdr:row>
      <xdr:rowOff>47625</xdr:rowOff>
    </xdr:to>
    <xdr:graphicFrame macro="">
      <xdr:nvGraphicFramePr>
        <xdr:cNvPr id="8" name="Gra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143187</xdr:colOff>
      <xdr:row>100</xdr:row>
      <xdr:rowOff>142875</xdr:rowOff>
    </xdr:from>
    <xdr:to>
      <xdr:col>15</xdr:col>
      <xdr:colOff>503187</xdr:colOff>
      <xdr:row>119</xdr:row>
      <xdr:rowOff>123825</xdr:rowOff>
    </xdr:to>
    <xdr:graphicFrame macro="">
      <xdr:nvGraphicFramePr>
        <xdr:cNvPr id="9" name="Gra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OnLoad="1" refreshedBy="eni S.p.A." refreshedDate="43233.878333680557" createdVersion="5" refreshedVersion="5" minRefreshableVersion="3" recordCount="0" supportSubquery="1" supportAdvancedDrill="1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TotalePerZona].[dt_flusso].[dt_flusso]" caption="dt_flusso" numFmtId="0" hierarchy="21" level="1">
      <sharedItems containsSemiMixedTypes="0" containsNonDate="0" containsDate="1" containsString="0" minDate="2018-04-01T00:00:00" maxDate="2018-06-01T00:00:00" count="61"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</sharedItems>
    </cacheField>
    <cacheField name="[Measures].[Somma di TotaleZona]" caption="Somma di TotaleZona" numFmtId="0" hierarchy="29" level="32767"/>
    <cacheField name="[TotalePerZona].[zona].[zona]" caption="zona" numFmtId="0" hierarchy="22" level="1">
      <sharedItems count="10">
        <s v="BRNN"/>
        <s v="CNOR"/>
        <s v="CSUD"/>
        <s v="FOGN"/>
        <s v="NORD"/>
        <s v="PRGP"/>
        <s v="ROSN"/>
        <s v="SARD"/>
        <s v="SICI"/>
        <s v="SUD"/>
      </sharedItems>
    </cacheField>
  </cacheFields>
  <cacheHierarchies count="41">
    <cacheHierarchy uniqueName="[Eolico].[dt_flusso]" caption="dt_flusso" attribute="1" time="1" defaultMemberUniqueName="[Eolico].[dt_flusso].[All]" allUniqueName="[Eolico].[dt_flusso].[All]" dimensionUniqueName="[Eolico]" displayFolder="" count="0" memberValueDatatype="7" unbalanced="0"/>
    <cacheHierarchy uniqueName="[Eolico].[tipo]" caption="tipo" attribute="1" defaultMemberUniqueName="[Eolico].[tipo].[All]" allUniqueName="[Eolico].[tipo].[All]" dimensionUniqueName="[Eolico]" displayFolder="" count="0" memberValueDatatype="130" unbalanced="0"/>
    <cacheHierarchy uniqueName="[Eolico].[Eolico]" caption="Eolico" attribute="1" defaultMemberUniqueName="[Eolico].[Eolico].[All]" allUniqueName="[Eolico].[Eolico].[All]" dimensionUniqueName="[Eolico]" displayFolder="" count="0" memberValueDatatype="5" unbalanced="0"/>
    <cacheHierarchy uniqueName="[Giornaliera].[dt_flusso]" caption="dt_flusso" attribute="1" time="1" defaultMemberUniqueName="[Giornaliera].[dt_flusso].[All]" allUniqueName="[Giornaliera].[dt_flusso].[All]" dimensionUniqueName="[Giornaliera]" displayFolder="" count="0" memberValueDatatype="7" unbalanced="0"/>
    <cacheHierarchy uniqueName="[Giornaliera].[tipo]" caption="tipo" attribute="1" defaultMemberUniqueName="[Giornaliera].[tipo].[All]" allUniqueName="[Giornaliera].[tipo].[All]" dimensionUniqueName="[Giornaliera]" displayFolder="" count="0" memberValueDatatype="130" unbalanced="0"/>
    <cacheHierarchy uniqueName="[Giornaliera].[remit]" caption="remit" attribute="1" defaultMemberUniqueName="[Giornaliera].[remit].[All]" allUniqueName="[Giornaliera].[remit].[All]" dimensionUniqueName="[Giornaliera]" displayFolder="" count="0" memberValueDatatype="5" unbalanced="0"/>
    <cacheHierarchy uniqueName="[Idrico].[dt_flusso]" caption="dt_flusso" attribute="1" time="1" defaultMemberUniqueName="[Idrico].[dt_flusso].[All]" allUniqueName="[Idrico].[dt_flusso].[All]" dimensionUniqueName="[Idrico]" displayFolder="" count="0" memberValueDatatype="7" unbalanced="0"/>
    <cacheHierarchy uniqueName="[Idrico].[tipo]" caption="tipo" attribute="1" defaultMemberUniqueName="[Idrico].[tipo].[All]" allUniqueName="[Idrico].[tipo].[All]" dimensionUniqueName="[Idrico]" displayFolder="" count="0" memberValueDatatype="130" unbalanced="0"/>
    <cacheHierarchy uniqueName="[Idrico].[Idrico]" caption="Idrico" attribute="1" defaultMemberUniqueName="[Idrico].[Idrico].[All]" allUniqueName="[Idrico].[Idrico].[All]" dimensionUniqueName="[Idrico]" displayFolder="" count="0" memberValueDatatype="5" unbalanced="0"/>
    <cacheHierarchy uniqueName="[Oraria].[dt_flusso]" caption="dt_flusso" attribute="1" time="1" defaultMemberUniqueName="[Oraria].[dt_flusso].[All]" allUniqueName="[Oraria].[dt_flusso].[All]" dimensionUniqueName="[Oraria]" displayFolder="" count="0" memberValueDatatype="7" unbalanced="0"/>
    <cacheHierarchy uniqueName="[Oraria].[hour]" caption="hour" attribute="1" defaultMemberUniqueName="[Oraria].[hour].[All]" allUniqueName="[Oraria].[hour].[All]" dimensionUniqueName="[Oraria]" displayFolder="" count="0" memberValueDatatype="20" unbalanced="0"/>
    <cacheHierarchy uniqueName="[Oraria].[tipo]" caption="tipo" attribute="1" defaultMemberUniqueName="[Oraria].[tipo].[All]" allUniqueName="[Oraria].[tipo].[All]" dimensionUniqueName="[Oraria]" displayFolder="" count="0" memberValueDatatype="130" unbalanced="0"/>
    <cacheHierarchy uniqueName="[Oraria].[remit_oraria]" caption="remit_oraria" attribute="1" defaultMemberUniqueName="[Oraria].[remit_oraria].[All]" allUniqueName="[Oraria].[remit_oraria].[All]" dimensionUniqueName="[Oraria]" displayFolder="" count="0" memberValueDatatype="5" unbalanced="0"/>
    <cacheHierarchy uniqueName="[Pompaggi].[dt_flusso]" caption="dt_flusso" attribute="1" time="1" defaultMemberUniqueName="[Pompaggi].[dt_flusso].[All]" allUniqueName="[Pompaggi].[dt_flusso].[All]" dimensionUniqueName="[Pompaggi]" displayFolder="" count="0" memberValueDatatype="7" unbalanced="0"/>
    <cacheHierarchy uniqueName="[Pompaggi].[tipo]" caption="tipo" attribute="1" defaultMemberUniqueName="[Pompaggi].[tipo].[All]" allUniqueName="[Pompaggi].[tipo].[All]" dimensionUniqueName="[Pompaggi]" displayFolder="" count="0" memberValueDatatype="130" unbalanced="0"/>
    <cacheHierarchy uniqueName="[Pompaggi].[Pompaggi]" caption="Pompaggi" attribute="1" defaultMemberUniqueName="[Pompaggi].[Pompaggi].[All]" allUniqueName="[Pompaggi].[Pompaggi].[All]" dimensionUniqueName="[Pompaggi]" displayFolder="" count="0" memberValueDatatype="5" unbalanced="0"/>
    <cacheHierarchy uniqueName="[Termico].[dt_flusso]" caption="dt_flusso" attribute="1" time="1" defaultMemberUniqueName="[Termico].[dt_flusso].[All]" allUniqueName="[Termico].[dt_flusso].[All]" dimensionUniqueName="[Termico]" displayFolder="" count="0" memberValueDatatype="7" unbalanced="0"/>
    <cacheHierarchy uniqueName="[Termico].[tipo]" caption="tipo" attribute="1" defaultMemberUniqueName="[Termico].[tipo].[All]" allUniqueName="[Termico].[tipo].[All]" dimensionUniqueName="[Termico]" displayFolder="" count="0" memberValueDatatype="130" unbalanced="0"/>
    <cacheHierarchy uniqueName="[Termico].[Termico]" caption="Termico" attribute="1" defaultMemberUniqueName="[Termico].[Termico].[All]" allUniqueName="[Termico].[Termico].[All]" dimensionUniqueName="[Termico]" displayFolder="" count="0" memberValueDatatype="5" unbalanced="0"/>
    <cacheHierarchy uniqueName="[Totale].[dt_flusso]" caption="dt_flusso" attribute="1" time="1" defaultMemberUniqueName="[Totale].[dt_flusso].[All]" allUniqueName="[Totale].[dt_flusso].[All]" dimensionUniqueName="[Totale]" displayFolder="" count="0" memberValueDatatype="7" unbalanced="0"/>
    <cacheHierarchy uniqueName="[Totale].[Totale]" caption="Totale" attribute="1" defaultMemberUniqueName="[Totale].[Totale].[All]" allUniqueName="[Totale].[Totale].[All]" dimensionUniqueName="[Totale]" displayFolder="" count="0" memberValueDatatype="5" unbalanced="0"/>
    <cacheHierarchy uniqueName="[TotalePerZona].[dt_flusso]" caption="dt_flusso" attribute="1" time="1" defaultMemberUniqueName="[TotalePerZona].[dt_flusso].[All]" allUniqueName="[TotalePerZona].[dt_flusso].[All]" dimensionUniqueName="[TotalePerZona]" displayFolder="" count="2" memberValueDatatype="7" unbalanced="0">
      <fieldsUsage count="2">
        <fieldUsage x="-1"/>
        <fieldUsage x="0"/>
      </fieldsUsage>
    </cacheHierarchy>
    <cacheHierarchy uniqueName="[TotalePerZona].[zona]" caption="zona" attribute="1" defaultMemberUniqueName="[TotalePerZona].[zona].[All]" allUniqueName="[TotalePerZona].[zona].[All]" dimensionUniqueName="[TotalePerZona]" displayFolder="" count="2" memberValueDatatype="130" unbalanced="0">
      <fieldsUsage count="2">
        <fieldUsage x="-1"/>
        <fieldUsage x="2"/>
      </fieldsUsage>
    </cacheHierarchy>
    <cacheHierarchy uniqueName="[TotalePerZona].[TotaleZona]" caption="TotaleZona" attribute="1" defaultMemberUniqueName="[TotalePerZona].[TotaleZona].[All]" allUniqueName="[TotalePerZona].[TotaleZona].[All]" dimensionUniqueName="[TotalePerZona]" displayFolder="" count="0" memberValueDatatype="5" unbalanced="0"/>
    <cacheHierarchy uniqueName="[Measures].[Somma di Termico]" caption="Somma di Termico" measure="1" displayFolder="" measureGroup="Termico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a di Totale]" caption="Somma di Totale" measure="1" displayFolder="" measureGroup="Totale" count="0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a di Pompaggi]" caption="Somma di Pompaggi" measure="1" displayFolder="" measureGroup="Pompaggi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a di Idrico]" caption="Somma di Idrico" measure="1" displayFolder="" measureGroup="Idrico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a di Eolico]" caption="Somma di Eolico" measure="1" displayFolder="" measureGroup="Eolico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ma di TotaleZona]" caption="Somma di TotaleZona" measure="1" displayFolder="" measureGroup="TotalePerZona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ma di remit_oraria]" caption="Somma di remit_oraria" measure="1" displayFolder="" measureGroup="Oraria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a di remit]" caption="Somma di remit" measure="1" displayFolder="" measureGroup="Giornaliera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__XL_Count Totale]" caption="__XL_Count Totale" measure="1" displayFolder="" measureGroup="Totale" count="0" hidden="1"/>
    <cacheHierarchy uniqueName="[Measures].[__XL_Count Idrico]" caption="__XL_Count Idrico" measure="1" displayFolder="" measureGroup="Idrico" count="0" hidden="1"/>
    <cacheHierarchy uniqueName="[Measures].[__XL_Count Termico]" caption="__XL_Count Termico" measure="1" displayFolder="" measureGroup="Termico" count="0" hidden="1"/>
    <cacheHierarchy uniqueName="[Measures].[__XL_Count Pompaggi]" caption="__XL_Count Pompaggi" measure="1" displayFolder="" measureGroup="Pompaggi" count="0" hidden="1"/>
    <cacheHierarchy uniqueName="[Measures].[__XL_Count Eolico]" caption="__XL_Count Eolico" measure="1" displayFolder="" measureGroup="Eolico" count="0" hidden="1"/>
    <cacheHierarchy uniqueName="[Measures].[__XL_Count TotalePerZona]" caption="__XL_Count TotalePerZona" measure="1" displayFolder="" measureGroup="TotalePerZona" count="0" hidden="1"/>
    <cacheHierarchy uniqueName="[Measures].[__XL_Count Oraria]" caption="__XL_Count Oraria" measure="1" displayFolder="" measureGroup="Oraria" count="0" hidden="1"/>
    <cacheHierarchy uniqueName="[Measures].[__XL_Count Giornaliera]" caption="__XL_Count Giornaliera" measure="1" displayFolder="" measureGroup="Giornaliera" count="0" hidden="1"/>
    <cacheHierarchy uniqueName="[Measures].[__XL_Count of Models]" caption="__XL_Count of Models" measure="1" displayFolder="" count="0" hidden="1"/>
  </cacheHierarchies>
  <kpis count="0"/>
  <dimensions count="9">
    <dimension name="Eolico" uniqueName="[Eolico]" caption="Eolico"/>
    <dimension name="Giornaliera" uniqueName="[Giornaliera]" caption="Giornaliera"/>
    <dimension name="Idrico" uniqueName="[Idrico]" caption="Idrico"/>
    <dimension measure="1" name="Measures" uniqueName="[Measures]" caption="Measures"/>
    <dimension name="Oraria" uniqueName="[Oraria]" caption="Oraria"/>
    <dimension name="Pompaggi" uniqueName="[Pompaggi]" caption="Pompaggi"/>
    <dimension name="Termico" uniqueName="[Termico]" caption="Termico"/>
    <dimension name="Totale" uniqueName="[Totale]" caption="Totale"/>
    <dimension name="TotalePerZona" uniqueName="[TotalePerZona]" caption="TotalePerZona"/>
  </dimensions>
  <measureGroups count="8">
    <measureGroup name="Eolico" caption="Eolico"/>
    <measureGroup name="Giornaliera" caption="Giornaliera"/>
    <measureGroup name="Idrico" caption="Idrico"/>
    <measureGroup name="Oraria" caption="Oraria"/>
    <measureGroup name="Pompaggi" caption="Pompaggi"/>
    <measureGroup name="Termico" caption="Termico"/>
    <measureGroup name="Totale" caption="Totale"/>
    <measureGroup name="TotalePerZona" caption="TotalePerZona"/>
  </measureGroups>
  <maps count="12">
    <map measureGroup="0" dimension="0"/>
    <map measureGroup="0" dimension="7"/>
    <map measureGroup="1" dimension="1"/>
    <map measureGroup="2" dimension="2"/>
    <map measureGroup="2" dimension="7"/>
    <map measureGroup="3" dimension="4"/>
    <map measureGroup="4" dimension="5"/>
    <map measureGroup="4" dimension="7"/>
    <map measureGroup="5" dimension="6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pivotCacheId="3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OnLoad="1" refreshedBy="eni S.p.A." refreshedDate="43233.878365509256" createdVersion="5" refreshedVersion="5" minRefreshableVersion="3" recordCount="0" supportSubquery="1" supportAdvancedDrill="1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4">
    <cacheField name="[Oraria].[dt_flusso].[dt_flusso]" caption="dt_flusso" numFmtId="0" hierarchy="9" level="1">
      <sharedItems containsSemiMixedTypes="0" containsNonDate="0" containsDate="1" containsString="0" minDate="2018-05-12T00:00:00" maxDate="2018-05-16T00:00:00" count="4">
        <d v="2018-05-12T00:00:00"/>
        <d v="2018-05-13T00:00:00"/>
        <d v="2018-05-14T00:00:00"/>
        <d v="2018-05-15T00:00:00"/>
      </sharedItems>
    </cacheField>
    <cacheField name="[Oraria].[hour].[hour]" caption="hour" numFmtId="0" hierarchy="10" level="1">
      <sharedItems containsSemiMixedTypes="0" containsString="0" containsNumber="1" containsInteger="1" minValue="1" maxValue="24" count="2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</sharedItems>
      <extLst>
        <ext xmlns:x15="http://schemas.microsoft.com/office/spreadsheetml/2010/11/main" uri="{4F2E5C28-24EA-4eb8-9CBF-B6C8F9C3D259}">
          <x15:cachedUniqueNames>
            <x15:cachedUniqueName index="0" name="[Oraria].[hour].&amp;[1]"/>
            <x15:cachedUniqueName index="1" name="[Oraria].[hour].&amp;[2]"/>
            <x15:cachedUniqueName index="2" name="[Oraria].[hour].&amp;[3]"/>
            <x15:cachedUniqueName index="3" name="[Oraria].[hour].&amp;[4]"/>
            <x15:cachedUniqueName index="4" name="[Oraria].[hour].&amp;[5]"/>
            <x15:cachedUniqueName index="5" name="[Oraria].[hour].&amp;[6]"/>
            <x15:cachedUniqueName index="6" name="[Oraria].[hour].&amp;[7]"/>
            <x15:cachedUniqueName index="7" name="[Oraria].[hour].&amp;[8]"/>
            <x15:cachedUniqueName index="8" name="[Oraria].[hour].&amp;[9]"/>
            <x15:cachedUniqueName index="9" name="[Oraria].[hour].&amp;[10]"/>
            <x15:cachedUniqueName index="10" name="[Oraria].[hour].&amp;[11]"/>
            <x15:cachedUniqueName index="11" name="[Oraria].[hour].&amp;[12]"/>
            <x15:cachedUniqueName index="12" name="[Oraria].[hour].&amp;[13]"/>
            <x15:cachedUniqueName index="13" name="[Oraria].[hour].&amp;[14]"/>
            <x15:cachedUniqueName index="14" name="[Oraria].[hour].&amp;[15]"/>
            <x15:cachedUniqueName index="15" name="[Oraria].[hour].&amp;[16]"/>
            <x15:cachedUniqueName index="16" name="[Oraria].[hour].&amp;[17]"/>
            <x15:cachedUniqueName index="17" name="[Oraria].[hour].&amp;[18]"/>
            <x15:cachedUniqueName index="18" name="[Oraria].[hour].&amp;[19]"/>
            <x15:cachedUniqueName index="19" name="[Oraria].[hour].&amp;[20]"/>
            <x15:cachedUniqueName index="20" name="[Oraria].[hour].&amp;[21]"/>
            <x15:cachedUniqueName index="21" name="[Oraria].[hour].&amp;[22]"/>
            <x15:cachedUniqueName index="22" name="[Oraria].[hour].&amp;[23]"/>
            <x15:cachedUniqueName index="23" name="[Oraria].[hour].&amp;[24]"/>
          </x15:cachedUniqueNames>
        </ext>
      </extLst>
    </cacheField>
    <cacheField name="[Measures].[Somma di remit_oraria]" caption="Somma di remit_oraria" numFmtId="0" hierarchy="30" level="32767"/>
    <cacheField name="[Oraria].[tipo].[tipo]" caption="tipo" numFmtId="0" hierarchy="11" level="1">
      <sharedItems count="3">
        <s v="IDRICO"/>
        <s v="POMPAGGIO"/>
        <s v="TERMICO"/>
      </sharedItems>
    </cacheField>
  </cacheFields>
  <cacheHierarchies count="41">
    <cacheHierarchy uniqueName="[Eolico].[dt_flusso]" caption="dt_flusso" attribute="1" time="1" defaultMemberUniqueName="[Eolico].[dt_flusso].[All]" allUniqueName="[Eolico].[dt_flusso].[All]" dimensionUniqueName="[Eolico]" displayFolder="" count="0" memberValueDatatype="7" unbalanced="0"/>
    <cacheHierarchy uniqueName="[Eolico].[tipo]" caption="tipo" attribute="1" defaultMemberUniqueName="[Eolico].[tipo].[All]" allUniqueName="[Eolico].[tipo].[All]" dimensionUniqueName="[Eolico]" displayFolder="" count="0" memberValueDatatype="130" unbalanced="0"/>
    <cacheHierarchy uniqueName="[Eolico].[Eolico]" caption="Eolico" attribute="1" defaultMemberUniqueName="[Eolico].[Eolico].[All]" allUniqueName="[Eolico].[Eolico].[All]" dimensionUniqueName="[Eolico]" displayFolder="" count="0" memberValueDatatype="5" unbalanced="0"/>
    <cacheHierarchy uniqueName="[Giornaliera].[dt_flusso]" caption="dt_flusso" attribute="1" time="1" defaultMemberUniqueName="[Giornaliera].[dt_flusso].[All]" allUniqueName="[Giornaliera].[dt_flusso].[All]" dimensionUniqueName="[Giornaliera]" displayFolder="" count="0" memberValueDatatype="7" unbalanced="0"/>
    <cacheHierarchy uniqueName="[Giornaliera].[tipo]" caption="tipo" attribute="1" defaultMemberUniqueName="[Giornaliera].[tipo].[All]" allUniqueName="[Giornaliera].[tipo].[All]" dimensionUniqueName="[Giornaliera]" displayFolder="" count="0" memberValueDatatype="130" unbalanced="0"/>
    <cacheHierarchy uniqueName="[Giornaliera].[remit]" caption="remit" attribute="1" defaultMemberUniqueName="[Giornaliera].[remit].[All]" allUniqueName="[Giornaliera].[remit].[All]" dimensionUniqueName="[Giornaliera]" displayFolder="" count="0" memberValueDatatype="5" unbalanced="0"/>
    <cacheHierarchy uniqueName="[Idrico].[dt_flusso]" caption="dt_flusso" attribute="1" time="1" defaultMemberUniqueName="[Idrico].[dt_flusso].[All]" allUniqueName="[Idrico].[dt_flusso].[All]" dimensionUniqueName="[Idrico]" displayFolder="" count="0" memberValueDatatype="7" unbalanced="0"/>
    <cacheHierarchy uniqueName="[Idrico].[tipo]" caption="tipo" attribute="1" defaultMemberUniqueName="[Idrico].[tipo].[All]" allUniqueName="[Idrico].[tipo].[All]" dimensionUniqueName="[Idrico]" displayFolder="" count="0" memberValueDatatype="130" unbalanced="0"/>
    <cacheHierarchy uniqueName="[Idrico].[Idrico]" caption="Idrico" attribute="1" defaultMemberUniqueName="[Idrico].[Idrico].[All]" allUniqueName="[Idrico].[Idrico].[All]" dimensionUniqueName="[Idrico]" displayFolder="" count="0" memberValueDatatype="5" unbalanced="0"/>
    <cacheHierarchy uniqueName="[Oraria].[dt_flusso]" caption="dt_flusso" attribute="1" time="1" defaultMemberUniqueName="[Oraria].[dt_flusso].[All]" allUniqueName="[Oraria].[dt_flusso].[All]" dimensionUniqueName="[Oraria]" displayFolder="" count="2" memberValueDatatype="7" unbalanced="0">
      <fieldsUsage count="2">
        <fieldUsage x="-1"/>
        <fieldUsage x="0"/>
      </fieldsUsage>
    </cacheHierarchy>
    <cacheHierarchy uniqueName="[Oraria].[hour]" caption="hour" attribute="1" defaultMemberUniqueName="[Oraria].[hour].[All]" allUniqueName="[Oraria].[hour].[All]" dimensionUniqueName="[Oraria]" displayFolder="" count="2" memberValueDatatype="20" unbalanced="0">
      <fieldsUsage count="2">
        <fieldUsage x="-1"/>
        <fieldUsage x="1"/>
      </fieldsUsage>
    </cacheHierarchy>
    <cacheHierarchy uniqueName="[Oraria].[tipo]" caption="tipo" attribute="1" defaultMemberUniqueName="[Oraria].[tipo].[All]" allUniqueName="[Oraria].[tipo].[All]" dimensionUniqueName="[Oraria]" displayFolder="" count="2" memberValueDatatype="130" unbalanced="0">
      <fieldsUsage count="2">
        <fieldUsage x="-1"/>
        <fieldUsage x="3"/>
      </fieldsUsage>
    </cacheHierarchy>
    <cacheHierarchy uniqueName="[Oraria].[remit_oraria]" caption="remit_oraria" attribute="1" defaultMemberUniqueName="[Oraria].[remit_oraria].[All]" allUniqueName="[Oraria].[remit_oraria].[All]" dimensionUniqueName="[Oraria]" displayFolder="" count="0" memberValueDatatype="5" unbalanced="0"/>
    <cacheHierarchy uniqueName="[Pompaggi].[dt_flusso]" caption="dt_flusso" attribute="1" time="1" defaultMemberUniqueName="[Pompaggi].[dt_flusso].[All]" allUniqueName="[Pompaggi].[dt_flusso].[All]" dimensionUniqueName="[Pompaggi]" displayFolder="" count="0" memberValueDatatype="7" unbalanced="0"/>
    <cacheHierarchy uniqueName="[Pompaggi].[tipo]" caption="tipo" attribute="1" defaultMemberUniqueName="[Pompaggi].[tipo].[All]" allUniqueName="[Pompaggi].[tipo].[All]" dimensionUniqueName="[Pompaggi]" displayFolder="" count="0" memberValueDatatype="130" unbalanced="0"/>
    <cacheHierarchy uniqueName="[Pompaggi].[Pompaggi]" caption="Pompaggi" attribute="1" defaultMemberUniqueName="[Pompaggi].[Pompaggi].[All]" allUniqueName="[Pompaggi].[Pompaggi].[All]" dimensionUniqueName="[Pompaggi]" displayFolder="" count="0" memberValueDatatype="5" unbalanced="0"/>
    <cacheHierarchy uniqueName="[Termico].[dt_flusso]" caption="dt_flusso" attribute="1" time="1" defaultMemberUniqueName="[Termico].[dt_flusso].[All]" allUniqueName="[Termico].[dt_flusso].[All]" dimensionUniqueName="[Termico]" displayFolder="" count="0" memberValueDatatype="7" unbalanced="0"/>
    <cacheHierarchy uniqueName="[Termico].[tipo]" caption="tipo" attribute="1" defaultMemberUniqueName="[Termico].[tipo].[All]" allUniqueName="[Termico].[tipo].[All]" dimensionUniqueName="[Termico]" displayFolder="" count="0" memberValueDatatype="130" unbalanced="0"/>
    <cacheHierarchy uniqueName="[Termico].[Termico]" caption="Termico" attribute="1" defaultMemberUniqueName="[Termico].[Termico].[All]" allUniqueName="[Termico].[Termico].[All]" dimensionUniqueName="[Termico]" displayFolder="" count="0" memberValueDatatype="5" unbalanced="0"/>
    <cacheHierarchy uniqueName="[Totale].[dt_flusso]" caption="dt_flusso" attribute="1" time="1" defaultMemberUniqueName="[Totale].[dt_flusso].[All]" allUniqueName="[Totale].[dt_flusso].[All]" dimensionUniqueName="[Totale]" displayFolder="" count="0" memberValueDatatype="7" unbalanced="0"/>
    <cacheHierarchy uniqueName="[Totale].[Totale]" caption="Totale" attribute="1" defaultMemberUniqueName="[Totale].[Totale].[All]" allUniqueName="[Totale].[Totale].[All]" dimensionUniqueName="[Totale]" displayFolder="" count="0" memberValueDatatype="5" unbalanced="0"/>
    <cacheHierarchy uniqueName="[TotalePerZona].[dt_flusso]" caption="dt_flusso" attribute="1" time="1" defaultMemberUniqueName="[TotalePerZona].[dt_flusso].[All]" allUniqueName="[TotalePerZona].[dt_flusso].[All]" dimensionUniqueName="[TotalePerZona]" displayFolder="" count="0" memberValueDatatype="7" unbalanced="0"/>
    <cacheHierarchy uniqueName="[TotalePerZona].[zona]" caption="zona" attribute="1" defaultMemberUniqueName="[TotalePerZona].[zona].[All]" allUniqueName="[TotalePerZona].[zona].[All]" dimensionUniqueName="[TotalePerZona]" displayFolder="" count="0" memberValueDatatype="130" unbalanced="0"/>
    <cacheHierarchy uniqueName="[TotalePerZona].[TotaleZona]" caption="TotaleZona" attribute="1" defaultMemberUniqueName="[TotalePerZona].[TotaleZona].[All]" allUniqueName="[TotalePerZona].[TotaleZona].[All]" dimensionUniqueName="[TotalePerZona]" displayFolder="" count="0" memberValueDatatype="5" unbalanced="0"/>
    <cacheHierarchy uniqueName="[Measures].[Somma di Termico]" caption="Somma di Termico" measure="1" displayFolder="" measureGroup="Termico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a di Totale]" caption="Somma di Totale" measure="1" displayFolder="" measureGroup="Totale" count="0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a di Pompaggi]" caption="Somma di Pompaggi" measure="1" displayFolder="" measureGroup="Pompaggi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a di Idrico]" caption="Somma di Idrico" measure="1" displayFolder="" measureGroup="Idrico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a di Eolico]" caption="Somma di Eolico" measure="1" displayFolder="" measureGroup="Eolico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ma di TotaleZona]" caption="Somma di TotaleZona" measure="1" displayFolder="" measureGroup="TotalePerZona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ma di remit_oraria]" caption="Somma di remit_oraria" measure="1" displayFolder="" measureGroup="Oraria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a di remit]" caption="Somma di remit" measure="1" displayFolder="" measureGroup="Giornaliera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__XL_Count Totale]" caption="__XL_Count Totale" measure="1" displayFolder="" measureGroup="Totale" count="0" hidden="1"/>
    <cacheHierarchy uniqueName="[Measures].[__XL_Count Idrico]" caption="__XL_Count Idrico" measure="1" displayFolder="" measureGroup="Idrico" count="0" hidden="1"/>
    <cacheHierarchy uniqueName="[Measures].[__XL_Count Termico]" caption="__XL_Count Termico" measure="1" displayFolder="" measureGroup="Termico" count="0" hidden="1"/>
    <cacheHierarchy uniqueName="[Measures].[__XL_Count Pompaggi]" caption="__XL_Count Pompaggi" measure="1" displayFolder="" measureGroup="Pompaggi" count="0" hidden="1"/>
    <cacheHierarchy uniqueName="[Measures].[__XL_Count Eolico]" caption="__XL_Count Eolico" measure="1" displayFolder="" measureGroup="Eolico" count="0" hidden="1"/>
    <cacheHierarchy uniqueName="[Measures].[__XL_Count TotalePerZona]" caption="__XL_Count TotalePerZona" measure="1" displayFolder="" measureGroup="TotalePerZona" count="0" hidden="1"/>
    <cacheHierarchy uniqueName="[Measures].[__XL_Count Oraria]" caption="__XL_Count Oraria" measure="1" displayFolder="" measureGroup="Oraria" count="0" hidden="1"/>
    <cacheHierarchy uniqueName="[Measures].[__XL_Count Giornaliera]" caption="__XL_Count Giornaliera" measure="1" displayFolder="" measureGroup="Giornaliera" count="0" hidden="1"/>
    <cacheHierarchy uniqueName="[Measures].[__XL_Count of Models]" caption="__XL_Count of Models" measure="1" displayFolder="" count="0" hidden="1"/>
  </cacheHierarchies>
  <kpis count="0"/>
  <dimensions count="9">
    <dimension name="Eolico" uniqueName="[Eolico]" caption="Eolico"/>
    <dimension name="Giornaliera" uniqueName="[Giornaliera]" caption="Giornaliera"/>
    <dimension name="Idrico" uniqueName="[Idrico]" caption="Idrico"/>
    <dimension measure="1" name="Measures" uniqueName="[Measures]" caption="Measures"/>
    <dimension name="Oraria" uniqueName="[Oraria]" caption="Oraria"/>
    <dimension name="Pompaggi" uniqueName="[Pompaggi]" caption="Pompaggi"/>
    <dimension name="Termico" uniqueName="[Termico]" caption="Termico"/>
    <dimension name="Totale" uniqueName="[Totale]" caption="Totale"/>
    <dimension name="TotalePerZona" uniqueName="[TotalePerZona]" caption="TotalePerZona"/>
  </dimensions>
  <measureGroups count="8">
    <measureGroup name="Eolico" caption="Eolico"/>
    <measureGroup name="Giornaliera" caption="Giornaliera"/>
    <measureGroup name="Idrico" caption="Idrico"/>
    <measureGroup name="Oraria" caption="Oraria"/>
    <measureGroup name="Pompaggi" caption="Pompaggi"/>
    <measureGroup name="Termico" caption="Termico"/>
    <measureGroup name="Totale" caption="Totale"/>
    <measureGroup name="TotalePerZona" caption="TotalePerZona"/>
  </measureGroups>
  <maps count="12">
    <map measureGroup="0" dimension="0"/>
    <map measureGroup="0" dimension="7"/>
    <map measureGroup="1" dimension="1"/>
    <map measureGroup="2" dimension="2"/>
    <map measureGroup="2" dimension="7"/>
    <map measureGroup="3" dimension="4"/>
    <map measureGroup="4" dimension="5"/>
    <map measureGroup="4" dimension="7"/>
    <map measureGroup="5" dimension="6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pivotCacheId="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eni S.p.A." refreshedDate="43233.878439351851" createdVersion="5" refreshedVersion="5" minRefreshableVersion="3" recordCount="0" supportSubquery="1" supportAdvancedDrill="1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Giornaliera].[dt_flusso].[dt_flusso]" caption="dt_flusso" numFmtId="0" hierarchy="3" level="1">
      <sharedItems containsSemiMixedTypes="0" containsNonDate="0" containsDate="1" containsString="0" minDate="2018-05-12T00:00:00" maxDate="2018-05-17T00:00:00" count="5">
        <d v="2018-05-12T00:00:00"/>
        <d v="2018-05-13T00:00:00"/>
        <d v="2018-05-14T00:00:00"/>
        <d v="2018-05-15T00:00:00"/>
        <d v="2018-05-16T00:00:00"/>
      </sharedItems>
    </cacheField>
    <cacheField name="[Giornaliera].[tipo].[tipo]" caption="tipo" numFmtId="0" hierarchy="4" level="1">
      <sharedItems count="3">
        <s v="IDRICO"/>
        <s v="POMPAGGIO"/>
        <s v="TERMICO"/>
      </sharedItems>
    </cacheField>
    <cacheField name="[Measures].[Somma di remit]" caption="Somma di remit" numFmtId="0" hierarchy="31" level="32767"/>
  </cacheFields>
  <cacheHierarchies count="41">
    <cacheHierarchy uniqueName="[Eolico].[dt_flusso]" caption="dt_flusso" attribute="1" time="1" defaultMemberUniqueName="[Eolico].[dt_flusso].[All]" allUniqueName="[Eolico].[dt_flusso].[All]" dimensionUniqueName="[Eolico]" displayFolder="" count="0" memberValueDatatype="7" unbalanced="0"/>
    <cacheHierarchy uniqueName="[Eolico].[tipo]" caption="tipo" attribute="1" defaultMemberUniqueName="[Eolico].[tipo].[All]" allUniqueName="[Eolico].[tipo].[All]" dimensionUniqueName="[Eolico]" displayFolder="" count="0" memberValueDatatype="130" unbalanced="0"/>
    <cacheHierarchy uniqueName="[Eolico].[Eolico]" caption="Eolico" attribute="1" defaultMemberUniqueName="[Eolico].[Eolico].[All]" allUniqueName="[Eolico].[Eolico].[All]" dimensionUniqueName="[Eolico]" displayFolder="" count="0" memberValueDatatype="5" unbalanced="0"/>
    <cacheHierarchy uniqueName="[Giornaliera].[dt_flusso]" caption="dt_flusso" attribute="1" time="1" defaultMemberUniqueName="[Giornaliera].[dt_flusso].[All]" allUniqueName="[Giornaliera].[dt_flusso].[All]" dimensionUniqueName="[Giornaliera]" displayFolder="" count="2" memberValueDatatype="7" unbalanced="0">
      <fieldsUsage count="2">
        <fieldUsage x="-1"/>
        <fieldUsage x="0"/>
      </fieldsUsage>
    </cacheHierarchy>
    <cacheHierarchy uniqueName="[Giornaliera].[tipo]" caption="tipo" attribute="1" defaultMemberUniqueName="[Giornaliera].[tipo].[All]" allUniqueName="[Giornaliera].[tipo].[All]" dimensionUniqueName="[Giornaliera]" displayFolder="" count="2" memberValueDatatype="130" unbalanced="0">
      <fieldsUsage count="2">
        <fieldUsage x="-1"/>
        <fieldUsage x="1"/>
      </fieldsUsage>
    </cacheHierarchy>
    <cacheHierarchy uniqueName="[Giornaliera].[remit]" caption="remit" attribute="1" defaultMemberUniqueName="[Giornaliera].[remit].[All]" allUniqueName="[Giornaliera].[remit].[All]" dimensionUniqueName="[Giornaliera]" displayFolder="" count="0" memberValueDatatype="5" unbalanced="0"/>
    <cacheHierarchy uniqueName="[Idrico].[dt_flusso]" caption="dt_flusso" attribute="1" time="1" defaultMemberUniqueName="[Idrico].[dt_flusso].[All]" allUniqueName="[Idrico].[dt_flusso].[All]" dimensionUniqueName="[Idrico]" displayFolder="" count="0" memberValueDatatype="7" unbalanced="0"/>
    <cacheHierarchy uniqueName="[Idrico].[tipo]" caption="tipo" attribute="1" defaultMemberUniqueName="[Idrico].[tipo].[All]" allUniqueName="[Idrico].[tipo].[All]" dimensionUniqueName="[Idrico]" displayFolder="" count="0" memberValueDatatype="130" unbalanced="0"/>
    <cacheHierarchy uniqueName="[Idrico].[Idrico]" caption="Idrico" attribute="1" defaultMemberUniqueName="[Idrico].[Idrico].[All]" allUniqueName="[Idrico].[Idrico].[All]" dimensionUniqueName="[Idrico]" displayFolder="" count="0" memberValueDatatype="5" unbalanced="0"/>
    <cacheHierarchy uniqueName="[Oraria].[dt_flusso]" caption="dt_flusso" attribute="1" time="1" defaultMemberUniqueName="[Oraria].[dt_flusso].[All]" allUniqueName="[Oraria].[dt_flusso].[All]" dimensionUniqueName="[Oraria]" displayFolder="" count="0" memberValueDatatype="7" unbalanced="0"/>
    <cacheHierarchy uniqueName="[Oraria].[hour]" caption="hour" attribute="1" defaultMemberUniqueName="[Oraria].[hour].[All]" allUniqueName="[Oraria].[hour].[All]" dimensionUniqueName="[Oraria]" displayFolder="" count="0" memberValueDatatype="20" unbalanced="0"/>
    <cacheHierarchy uniqueName="[Oraria].[tipo]" caption="tipo" attribute="1" defaultMemberUniqueName="[Oraria].[tipo].[All]" allUniqueName="[Oraria].[tipo].[All]" dimensionUniqueName="[Oraria]" displayFolder="" count="0" memberValueDatatype="130" unbalanced="0"/>
    <cacheHierarchy uniqueName="[Oraria].[remit_oraria]" caption="remit_oraria" attribute="1" defaultMemberUniqueName="[Oraria].[remit_oraria].[All]" allUniqueName="[Oraria].[remit_oraria].[All]" dimensionUniqueName="[Oraria]" displayFolder="" count="0" memberValueDatatype="5" unbalanced="0"/>
    <cacheHierarchy uniqueName="[Pompaggi].[dt_flusso]" caption="dt_flusso" attribute="1" time="1" defaultMemberUniqueName="[Pompaggi].[dt_flusso].[All]" allUniqueName="[Pompaggi].[dt_flusso].[All]" dimensionUniqueName="[Pompaggi]" displayFolder="" count="0" memberValueDatatype="7" unbalanced="0"/>
    <cacheHierarchy uniqueName="[Pompaggi].[tipo]" caption="tipo" attribute="1" defaultMemberUniqueName="[Pompaggi].[tipo].[All]" allUniqueName="[Pompaggi].[tipo].[All]" dimensionUniqueName="[Pompaggi]" displayFolder="" count="0" memberValueDatatype="130" unbalanced="0"/>
    <cacheHierarchy uniqueName="[Pompaggi].[Pompaggi]" caption="Pompaggi" attribute="1" defaultMemberUniqueName="[Pompaggi].[Pompaggi].[All]" allUniqueName="[Pompaggi].[Pompaggi].[All]" dimensionUniqueName="[Pompaggi]" displayFolder="" count="0" memberValueDatatype="5" unbalanced="0"/>
    <cacheHierarchy uniqueName="[Termico].[dt_flusso]" caption="dt_flusso" attribute="1" time="1" defaultMemberUniqueName="[Termico].[dt_flusso].[All]" allUniqueName="[Termico].[dt_flusso].[All]" dimensionUniqueName="[Termico]" displayFolder="" count="0" memberValueDatatype="7" unbalanced="0"/>
    <cacheHierarchy uniqueName="[Termico].[tipo]" caption="tipo" attribute="1" defaultMemberUniqueName="[Termico].[tipo].[All]" allUniqueName="[Termico].[tipo].[All]" dimensionUniqueName="[Termico]" displayFolder="" count="0" memberValueDatatype="130" unbalanced="0"/>
    <cacheHierarchy uniqueName="[Termico].[Termico]" caption="Termico" attribute="1" defaultMemberUniqueName="[Termico].[Termico].[All]" allUniqueName="[Termico].[Termico].[All]" dimensionUniqueName="[Termico]" displayFolder="" count="0" memberValueDatatype="5" unbalanced="0"/>
    <cacheHierarchy uniqueName="[Totale].[dt_flusso]" caption="dt_flusso" attribute="1" time="1" defaultMemberUniqueName="[Totale].[dt_flusso].[All]" allUniqueName="[Totale].[dt_flusso].[All]" dimensionUniqueName="[Totale]" displayFolder="" count="0" memberValueDatatype="7" unbalanced="0"/>
    <cacheHierarchy uniqueName="[Totale].[Totale]" caption="Totale" attribute="1" defaultMemberUniqueName="[Totale].[Totale].[All]" allUniqueName="[Totale].[Totale].[All]" dimensionUniqueName="[Totale]" displayFolder="" count="0" memberValueDatatype="5" unbalanced="0"/>
    <cacheHierarchy uniqueName="[TotalePerZona].[dt_flusso]" caption="dt_flusso" attribute="1" time="1" defaultMemberUniqueName="[TotalePerZona].[dt_flusso].[All]" allUniqueName="[TotalePerZona].[dt_flusso].[All]" dimensionUniqueName="[TotalePerZona]" displayFolder="" count="0" memberValueDatatype="7" unbalanced="0"/>
    <cacheHierarchy uniqueName="[TotalePerZona].[zona]" caption="zona" attribute="1" defaultMemberUniqueName="[TotalePerZona].[zona].[All]" allUniqueName="[TotalePerZona].[zona].[All]" dimensionUniqueName="[TotalePerZona]" displayFolder="" count="0" memberValueDatatype="130" unbalanced="0"/>
    <cacheHierarchy uniqueName="[TotalePerZona].[TotaleZona]" caption="TotaleZona" attribute="1" defaultMemberUniqueName="[TotalePerZona].[TotaleZona].[All]" allUniqueName="[TotalePerZona].[TotaleZona].[All]" dimensionUniqueName="[TotalePerZona]" displayFolder="" count="0" memberValueDatatype="5" unbalanced="0"/>
    <cacheHierarchy uniqueName="[Measures].[Somma di Termico]" caption="Somma di Termico" measure="1" displayFolder="" measureGroup="Termico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a di Totale]" caption="Somma di Totale" measure="1" displayFolder="" measureGroup="Totale" count="0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a di Pompaggi]" caption="Somma di Pompaggi" measure="1" displayFolder="" measureGroup="Pompaggi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a di Idrico]" caption="Somma di Idrico" measure="1" displayFolder="" measureGroup="Idrico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a di Eolico]" caption="Somma di Eolico" measure="1" displayFolder="" measureGroup="Eolico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ma di TotaleZona]" caption="Somma di TotaleZona" measure="1" displayFolder="" measureGroup="TotalePerZona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ma di remit_oraria]" caption="Somma di remit_oraria" measure="1" displayFolder="" measureGroup="Oraria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a di remit]" caption="Somma di remit" measure="1" displayFolder="" measureGroup="Giornaliera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__XL_Count Totale]" caption="__XL_Count Totale" measure="1" displayFolder="" measureGroup="Totale" count="0" hidden="1"/>
    <cacheHierarchy uniqueName="[Measures].[__XL_Count Idrico]" caption="__XL_Count Idrico" measure="1" displayFolder="" measureGroup="Idrico" count="0" hidden="1"/>
    <cacheHierarchy uniqueName="[Measures].[__XL_Count Termico]" caption="__XL_Count Termico" measure="1" displayFolder="" measureGroup="Termico" count="0" hidden="1"/>
    <cacheHierarchy uniqueName="[Measures].[__XL_Count Pompaggi]" caption="__XL_Count Pompaggi" measure="1" displayFolder="" measureGroup="Pompaggi" count="0" hidden="1"/>
    <cacheHierarchy uniqueName="[Measures].[__XL_Count Eolico]" caption="__XL_Count Eolico" measure="1" displayFolder="" measureGroup="Eolico" count="0" hidden="1"/>
    <cacheHierarchy uniqueName="[Measures].[__XL_Count TotalePerZona]" caption="__XL_Count TotalePerZona" measure="1" displayFolder="" measureGroup="TotalePerZona" count="0" hidden="1"/>
    <cacheHierarchy uniqueName="[Measures].[__XL_Count Oraria]" caption="__XL_Count Oraria" measure="1" displayFolder="" measureGroup="Oraria" count="0" hidden="1"/>
    <cacheHierarchy uniqueName="[Measures].[__XL_Count Giornaliera]" caption="__XL_Count Giornaliera" measure="1" displayFolder="" measureGroup="Giornaliera" count="0" hidden="1"/>
    <cacheHierarchy uniqueName="[Measures].[__XL_Count of Models]" caption="__XL_Count of Models" measure="1" displayFolder="" count="0" hidden="1"/>
  </cacheHierarchies>
  <kpis count="0"/>
  <dimensions count="9">
    <dimension name="Eolico" uniqueName="[Eolico]" caption="Eolico"/>
    <dimension name="Giornaliera" uniqueName="[Giornaliera]" caption="Giornaliera"/>
    <dimension name="Idrico" uniqueName="[Idrico]" caption="Idrico"/>
    <dimension measure="1" name="Measures" uniqueName="[Measures]" caption="Measures"/>
    <dimension name="Oraria" uniqueName="[Oraria]" caption="Oraria"/>
    <dimension name="Pompaggi" uniqueName="[Pompaggi]" caption="Pompaggi"/>
    <dimension name="Termico" uniqueName="[Termico]" caption="Termico"/>
    <dimension name="Totale" uniqueName="[Totale]" caption="Totale"/>
    <dimension name="TotalePerZona" uniqueName="[TotalePerZona]" caption="TotalePerZona"/>
  </dimensions>
  <measureGroups count="8">
    <measureGroup name="Eolico" caption="Eolico"/>
    <measureGroup name="Giornaliera" caption="Giornaliera"/>
    <measureGroup name="Idrico" caption="Idrico"/>
    <measureGroup name="Oraria" caption="Oraria"/>
    <measureGroup name="Pompaggi" caption="Pompaggi"/>
    <measureGroup name="Termico" caption="Termico"/>
    <measureGroup name="Totale" caption="Totale"/>
    <measureGroup name="TotalePerZona" caption="TotalePerZona"/>
  </measureGroups>
  <maps count="12">
    <map measureGroup="0" dimension="0"/>
    <map measureGroup="0" dimension="7"/>
    <map measureGroup="1" dimension="1"/>
    <map measureGroup="2" dimension="2"/>
    <map measureGroup="2" dimension="7"/>
    <map measureGroup="3" dimension="4"/>
    <map measureGroup="4" dimension="5"/>
    <map measureGroup="4" dimension="7"/>
    <map measureGroup="5" dimension="6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pivotCacheId="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OnLoad="1" refreshedBy="eni S.p.A." refreshedDate="43233.880528587964" createdVersion="5" refreshedVersion="5" minRefreshableVersion="3" recordCount="0" supportSubquery="1" supportAdvancedDrill="1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2">
    <cacheField name="[Totale].[dt_flusso].[dt_flusso]" caption="dt_flusso" numFmtId="0" hierarchy="19" level="1">
      <sharedItems containsSemiMixedTypes="0" containsNonDate="0" containsDate="1" containsString="0" minDate="2018-04-01T00:00:00" maxDate="2018-06-01T00:00:00" count="61"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</sharedItems>
    </cacheField>
    <cacheField name="[Measures].[Somma di Termico]" caption="Somma di Termico" numFmtId="0" hierarchy="24" level="32767"/>
  </cacheFields>
  <cacheHierarchies count="41">
    <cacheHierarchy uniqueName="[Eolico].[dt_flusso]" caption="dt_flusso" attribute="1" time="1" defaultMemberUniqueName="[Eolico].[dt_flusso].[All]" allUniqueName="[Eolico].[dt_flusso].[All]" dimensionUniqueName="[Eolico]" displayFolder="" count="0" memberValueDatatype="7" unbalanced="0"/>
    <cacheHierarchy uniqueName="[Eolico].[tipo]" caption="tipo" attribute="1" defaultMemberUniqueName="[Eolico].[tipo].[All]" allUniqueName="[Eolico].[tipo].[All]" dimensionUniqueName="[Eolico]" displayFolder="" count="0" memberValueDatatype="130" unbalanced="0"/>
    <cacheHierarchy uniqueName="[Eolico].[Eolico]" caption="Eolico" attribute="1" defaultMemberUniqueName="[Eolico].[Eolico].[All]" allUniqueName="[Eolico].[Eolico].[All]" dimensionUniqueName="[Eolico]" displayFolder="" count="0" memberValueDatatype="5" unbalanced="0"/>
    <cacheHierarchy uniqueName="[Giornaliera].[dt_flusso]" caption="dt_flusso" attribute="1" time="1" defaultMemberUniqueName="[Giornaliera].[dt_flusso].[All]" allUniqueName="[Giornaliera].[dt_flusso].[All]" dimensionUniqueName="[Giornaliera]" displayFolder="" count="0" memberValueDatatype="7" unbalanced="0"/>
    <cacheHierarchy uniqueName="[Giornaliera].[tipo]" caption="tipo" attribute="1" defaultMemberUniqueName="[Giornaliera].[tipo].[All]" allUniqueName="[Giornaliera].[tipo].[All]" dimensionUniqueName="[Giornaliera]" displayFolder="" count="0" memberValueDatatype="130" unbalanced="0"/>
    <cacheHierarchy uniqueName="[Giornaliera].[remit]" caption="remit" attribute="1" defaultMemberUniqueName="[Giornaliera].[remit].[All]" allUniqueName="[Giornaliera].[remit].[All]" dimensionUniqueName="[Giornaliera]" displayFolder="" count="0" memberValueDatatype="5" unbalanced="0"/>
    <cacheHierarchy uniqueName="[Idrico].[dt_flusso]" caption="dt_flusso" attribute="1" time="1" defaultMemberUniqueName="[Idrico].[dt_flusso].[All]" allUniqueName="[Idrico].[dt_flusso].[All]" dimensionUniqueName="[Idrico]" displayFolder="" count="0" memberValueDatatype="7" unbalanced="0"/>
    <cacheHierarchy uniqueName="[Idrico].[tipo]" caption="tipo" attribute="1" defaultMemberUniqueName="[Idrico].[tipo].[All]" allUniqueName="[Idrico].[tipo].[All]" dimensionUniqueName="[Idrico]" displayFolder="" count="0" memberValueDatatype="130" unbalanced="0"/>
    <cacheHierarchy uniqueName="[Idrico].[Idrico]" caption="Idrico" attribute="1" defaultMemberUniqueName="[Idrico].[Idrico].[All]" allUniqueName="[Idrico].[Idrico].[All]" dimensionUniqueName="[Idrico]" displayFolder="" count="0" memberValueDatatype="5" unbalanced="0"/>
    <cacheHierarchy uniqueName="[Oraria].[dt_flusso]" caption="dt_flusso" attribute="1" time="1" defaultMemberUniqueName="[Oraria].[dt_flusso].[All]" allUniqueName="[Oraria].[dt_flusso].[All]" dimensionUniqueName="[Oraria]" displayFolder="" count="0" memberValueDatatype="7" unbalanced="0"/>
    <cacheHierarchy uniqueName="[Oraria].[hour]" caption="hour" attribute="1" defaultMemberUniqueName="[Oraria].[hour].[All]" allUniqueName="[Oraria].[hour].[All]" dimensionUniqueName="[Oraria]" displayFolder="" count="0" memberValueDatatype="20" unbalanced="0"/>
    <cacheHierarchy uniqueName="[Oraria].[tipo]" caption="tipo" attribute="1" defaultMemberUniqueName="[Oraria].[tipo].[All]" allUniqueName="[Oraria].[tipo].[All]" dimensionUniqueName="[Oraria]" displayFolder="" count="0" memberValueDatatype="130" unbalanced="0"/>
    <cacheHierarchy uniqueName="[Oraria].[remit_oraria]" caption="remit_oraria" attribute="1" defaultMemberUniqueName="[Oraria].[remit_oraria].[All]" allUniqueName="[Oraria].[remit_oraria].[All]" dimensionUniqueName="[Oraria]" displayFolder="" count="0" memberValueDatatype="5" unbalanced="0"/>
    <cacheHierarchy uniqueName="[Pompaggi].[dt_flusso]" caption="dt_flusso" attribute="1" time="1" defaultMemberUniqueName="[Pompaggi].[dt_flusso].[All]" allUniqueName="[Pompaggi].[dt_flusso].[All]" dimensionUniqueName="[Pompaggi]" displayFolder="" count="0" memberValueDatatype="7" unbalanced="0"/>
    <cacheHierarchy uniqueName="[Pompaggi].[tipo]" caption="tipo" attribute="1" defaultMemberUniqueName="[Pompaggi].[tipo].[All]" allUniqueName="[Pompaggi].[tipo].[All]" dimensionUniqueName="[Pompaggi]" displayFolder="" count="0" memberValueDatatype="130" unbalanced="0"/>
    <cacheHierarchy uniqueName="[Pompaggi].[Pompaggi]" caption="Pompaggi" attribute="1" defaultMemberUniqueName="[Pompaggi].[Pompaggi].[All]" allUniqueName="[Pompaggi].[Pompaggi].[All]" dimensionUniqueName="[Pompaggi]" displayFolder="" count="0" memberValueDatatype="5" unbalanced="0"/>
    <cacheHierarchy uniqueName="[Termico].[dt_flusso]" caption="dt_flusso" attribute="1" time="1" defaultMemberUniqueName="[Termico].[dt_flusso].[All]" allUniqueName="[Termico].[dt_flusso].[All]" dimensionUniqueName="[Termico]" displayFolder="" count="0" memberValueDatatype="7" unbalanced="0"/>
    <cacheHierarchy uniqueName="[Termico].[tipo]" caption="tipo" attribute="1" defaultMemberUniqueName="[Termico].[tipo].[All]" allUniqueName="[Termico].[tipo].[All]" dimensionUniqueName="[Termico]" displayFolder="" count="0" memberValueDatatype="130" unbalanced="0"/>
    <cacheHierarchy uniqueName="[Termico].[Termico]" caption="Termico" attribute="1" defaultMemberUniqueName="[Termico].[Termico].[All]" allUniqueName="[Termico].[Termico].[All]" dimensionUniqueName="[Termico]" displayFolder="" count="0" memberValueDatatype="5" unbalanced="0"/>
    <cacheHierarchy uniqueName="[Totale].[dt_flusso]" caption="dt_flusso" attribute="1" time="1" defaultMemberUniqueName="[Totale].[dt_flusso].[All]" allUniqueName="[Totale].[dt_flusso].[All]" dimensionUniqueName="[Totale]" displayFolder="" count="2" memberValueDatatype="7" unbalanced="0">
      <fieldsUsage count="2">
        <fieldUsage x="-1"/>
        <fieldUsage x="0"/>
      </fieldsUsage>
    </cacheHierarchy>
    <cacheHierarchy uniqueName="[Totale].[Totale]" caption="Totale" attribute="1" defaultMemberUniqueName="[Totale].[Totale].[All]" allUniqueName="[Totale].[Totale].[All]" dimensionUniqueName="[Totale]" displayFolder="" count="0" memberValueDatatype="5" unbalanced="0"/>
    <cacheHierarchy uniqueName="[TotalePerZona].[dt_flusso]" caption="dt_flusso" attribute="1" time="1" defaultMemberUniqueName="[TotalePerZona].[dt_flusso].[All]" allUniqueName="[TotalePerZona].[dt_flusso].[All]" dimensionUniqueName="[TotalePerZona]" displayFolder="" count="0" memberValueDatatype="7" unbalanced="0"/>
    <cacheHierarchy uniqueName="[TotalePerZona].[zona]" caption="zona" attribute="1" defaultMemberUniqueName="[TotalePerZona].[zona].[All]" allUniqueName="[TotalePerZona].[zona].[All]" dimensionUniqueName="[TotalePerZona]" displayFolder="" count="0" memberValueDatatype="130" unbalanced="0"/>
    <cacheHierarchy uniqueName="[TotalePerZona].[TotaleZona]" caption="TotaleZona" attribute="1" defaultMemberUniqueName="[TotalePerZona].[TotaleZona].[All]" allUniqueName="[TotalePerZona].[TotaleZona].[All]" dimensionUniqueName="[TotalePerZona]" displayFolder="" count="0" memberValueDatatype="5" unbalanced="0"/>
    <cacheHierarchy uniqueName="[Measures].[Somma di Termico]" caption="Somma di Termico" measure="1" displayFolder="" measureGroup="Termico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a di Totale]" caption="Somma di Totale" measure="1" displayFolder="" measureGroup="Totale" count="0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a di Pompaggi]" caption="Somma di Pompaggi" measure="1" displayFolder="" measureGroup="Pompaggi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a di Idrico]" caption="Somma di Idrico" measure="1" displayFolder="" measureGroup="Idrico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a di Eolico]" caption="Somma di Eolico" measure="1" displayFolder="" measureGroup="Eolico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ma di TotaleZona]" caption="Somma di TotaleZona" measure="1" displayFolder="" measureGroup="TotalePerZona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ma di remit_oraria]" caption="Somma di remit_oraria" measure="1" displayFolder="" measureGroup="Oraria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a di remit]" caption="Somma di remit" measure="1" displayFolder="" measureGroup="Giornaliera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__XL_Count Totale]" caption="__XL_Count Totale" measure="1" displayFolder="" measureGroup="Totale" count="0" hidden="1"/>
    <cacheHierarchy uniqueName="[Measures].[__XL_Count Idrico]" caption="__XL_Count Idrico" measure="1" displayFolder="" measureGroup="Idrico" count="0" hidden="1"/>
    <cacheHierarchy uniqueName="[Measures].[__XL_Count Termico]" caption="__XL_Count Termico" measure="1" displayFolder="" measureGroup="Termico" count="0" hidden="1"/>
    <cacheHierarchy uniqueName="[Measures].[__XL_Count Pompaggi]" caption="__XL_Count Pompaggi" measure="1" displayFolder="" measureGroup="Pompaggi" count="0" hidden="1"/>
    <cacheHierarchy uniqueName="[Measures].[__XL_Count Eolico]" caption="__XL_Count Eolico" measure="1" displayFolder="" measureGroup="Eolico" count="0" hidden="1"/>
    <cacheHierarchy uniqueName="[Measures].[__XL_Count TotalePerZona]" caption="__XL_Count TotalePerZona" measure="1" displayFolder="" measureGroup="TotalePerZona" count="0" hidden="1"/>
    <cacheHierarchy uniqueName="[Measures].[__XL_Count Oraria]" caption="__XL_Count Oraria" measure="1" displayFolder="" measureGroup="Oraria" count="0" hidden="1"/>
    <cacheHierarchy uniqueName="[Measures].[__XL_Count Giornaliera]" caption="__XL_Count Giornaliera" measure="1" displayFolder="" measureGroup="Giornaliera" count="0" hidden="1"/>
    <cacheHierarchy uniqueName="[Measures].[__XL_Count of Models]" caption="__XL_Count of Models" measure="1" displayFolder="" count="0" hidden="1"/>
  </cacheHierarchies>
  <kpis count="0"/>
  <dimensions count="9">
    <dimension name="Eolico" uniqueName="[Eolico]" caption="Eolico"/>
    <dimension name="Giornaliera" uniqueName="[Giornaliera]" caption="Giornaliera"/>
    <dimension name="Idrico" uniqueName="[Idrico]" caption="Idrico"/>
    <dimension measure="1" name="Measures" uniqueName="[Measures]" caption="Measures"/>
    <dimension name="Oraria" uniqueName="[Oraria]" caption="Oraria"/>
    <dimension name="Pompaggi" uniqueName="[Pompaggi]" caption="Pompaggi"/>
    <dimension name="Termico" uniqueName="[Termico]" caption="Termico"/>
    <dimension name="Totale" uniqueName="[Totale]" caption="Totale"/>
    <dimension name="TotalePerZona" uniqueName="[TotalePerZona]" caption="TotalePerZona"/>
  </dimensions>
  <measureGroups count="8">
    <measureGroup name="Eolico" caption="Eolico"/>
    <measureGroup name="Giornaliera" caption="Giornaliera"/>
    <measureGroup name="Idrico" caption="Idrico"/>
    <measureGroup name="Oraria" caption="Oraria"/>
    <measureGroup name="Pompaggi" caption="Pompaggi"/>
    <measureGroup name="Termico" caption="Termico"/>
    <measureGroup name="Totale" caption="Totale"/>
    <measureGroup name="TotalePerZona" caption="TotalePerZona"/>
  </measureGroups>
  <maps count="12">
    <map measureGroup="0" dimension="0"/>
    <map measureGroup="0" dimension="7"/>
    <map measureGroup="1" dimension="1"/>
    <map measureGroup="2" dimension="2"/>
    <map measureGroup="2" dimension="7"/>
    <map measureGroup="3" dimension="4"/>
    <map measureGroup="4" dimension="5"/>
    <map measureGroup="4" dimension="7"/>
    <map measureGroup="5" dimension="6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pivotCacheId="4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OnLoad="1" refreshedBy="eni S.p.A." refreshedDate="43233.880604282407" createdVersion="5" refreshedVersion="5" minRefreshableVersion="3" recordCount="0" supportSubquery="1" supportAdvancedDrill="1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2">
    <cacheField name="[Totale].[dt_flusso].[dt_flusso]" caption="dt_flusso" numFmtId="0" hierarchy="19" level="1">
      <sharedItems containsSemiMixedTypes="0" containsNonDate="0" containsDate="1" containsString="0" minDate="2018-04-01T00:00:00" maxDate="2018-06-01T00:00:00" count="61"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</sharedItems>
    </cacheField>
    <cacheField name="[Measures].[Somma di Eolico]" caption="Somma di Eolico" numFmtId="0" hierarchy="28" level="32767"/>
  </cacheFields>
  <cacheHierarchies count="41">
    <cacheHierarchy uniqueName="[Eolico].[dt_flusso]" caption="dt_flusso" attribute="1" time="1" defaultMemberUniqueName="[Eolico].[dt_flusso].[All]" allUniqueName="[Eolico].[dt_flusso].[All]" dimensionUniqueName="[Eolico]" displayFolder="" count="0" memberValueDatatype="7" unbalanced="0"/>
    <cacheHierarchy uniqueName="[Eolico].[tipo]" caption="tipo" attribute="1" defaultMemberUniqueName="[Eolico].[tipo].[All]" allUniqueName="[Eolico].[tipo].[All]" dimensionUniqueName="[Eolico]" displayFolder="" count="0" memberValueDatatype="130" unbalanced="0"/>
    <cacheHierarchy uniqueName="[Eolico].[Eolico]" caption="Eolico" attribute="1" defaultMemberUniqueName="[Eolico].[Eolico].[All]" allUniqueName="[Eolico].[Eolico].[All]" dimensionUniqueName="[Eolico]" displayFolder="" count="0" memberValueDatatype="5" unbalanced="0"/>
    <cacheHierarchy uniqueName="[Giornaliera].[dt_flusso]" caption="dt_flusso" attribute="1" time="1" defaultMemberUniqueName="[Giornaliera].[dt_flusso].[All]" allUniqueName="[Giornaliera].[dt_flusso].[All]" dimensionUniqueName="[Giornaliera]" displayFolder="" count="0" memberValueDatatype="7" unbalanced="0"/>
    <cacheHierarchy uniqueName="[Giornaliera].[tipo]" caption="tipo" attribute="1" defaultMemberUniqueName="[Giornaliera].[tipo].[All]" allUniqueName="[Giornaliera].[tipo].[All]" dimensionUniqueName="[Giornaliera]" displayFolder="" count="0" memberValueDatatype="130" unbalanced="0"/>
    <cacheHierarchy uniqueName="[Giornaliera].[remit]" caption="remit" attribute="1" defaultMemberUniqueName="[Giornaliera].[remit].[All]" allUniqueName="[Giornaliera].[remit].[All]" dimensionUniqueName="[Giornaliera]" displayFolder="" count="0" memberValueDatatype="5" unbalanced="0"/>
    <cacheHierarchy uniqueName="[Idrico].[dt_flusso]" caption="dt_flusso" attribute="1" time="1" defaultMemberUniqueName="[Idrico].[dt_flusso].[All]" allUniqueName="[Idrico].[dt_flusso].[All]" dimensionUniqueName="[Idrico]" displayFolder="" count="0" memberValueDatatype="7" unbalanced="0"/>
    <cacheHierarchy uniqueName="[Idrico].[tipo]" caption="tipo" attribute="1" defaultMemberUniqueName="[Idrico].[tipo].[All]" allUniqueName="[Idrico].[tipo].[All]" dimensionUniqueName="[Idrico]" displayFolder="" count="0" memberValueDatatype="130" unbalanced="0"/>
    <cacheHierarchy uniqueName="[Idrico].[Idrico]" caption="Idrico" attribute="1" defaultMemberUniqueName="[Idrico].[Idrico].[All]" allUniqueName="[Idrico].[Idrico].[All]" dimensionUniqueName="[Idrico]" displayFolder="" count="0" memberValueDatatype="5" unbalanced="0"/>
    <cacheHierarchy uniqueName="[Oraria].[dt_flusso]" caption="dt_flusso" attribute="1" time="1" defaultMemberUniqueName="[Oraria].[dt_flusso].[All]" allUniqueName="[Oraria].[dt_flusso].[All]" dimensionUniqueName="[Oraria]" displayFolder="" count="0" memberValueDatatype="7" unbalanced="0"/>
    <cacheHierarchy uniqueName="[Oraria].[hour]" caption="hour" attribute="1" defaultMemberUniqueName="[Oraria].[hour].[All]" allUniqueName="[Oraria].[hour].[All]" dimensionUniqueName="[Oraria]" displayFolder="" count="0" memberValueDatatype="20" unbalanced="0"/>
    <cacheHierarchy uniqueName="[Oraria].[tipo]" caption="tipo" attribute="1" defaultMemberUniqueName="[Oraria].[tipo].[All]" allUniqueName="[Oraria].[tipo].[All]" dimensionUniqueName="[Oraria]" displayFolder="" count="0" memberValueDatatype="130" unbalanced="0"/>
    <cacheHierarchy uniqueName="[Oraria].[remit_oraria]" caption="remit_oraria" attribute="1" defaultMemberUniqueName="[Oraria].[remit_oraria].[All]" allUniqueName="[Oraria].[remit_oraria].[All]" dimensionUniqueName="[Oraria]" displayFolder="" count="0" memberValueDatatype="5" unbalanced="0"/>
    <cacheHierarchy uniqueName="[Pompaggi].[dt_flusso]" caption="dt_flusso" attribute="1" time="1" defaultMemberUniqueName="[Pompaggi].[dt_flusso].[All]" allUniqueName="[Pompaggi].[dt_flusso].[All]" dimensionUniqueName="[Pompaggi]" displayFolder="" count="0" memberValueDatatype="7" unbalanced="0"/>
    <cacheHierarchy uniqueName="[Pompaggi].[tipo]" caption="tipo" attribute="1" defaultMemberUniqueName="[Pompaggi].[tipo].[All]" allUniqueName="[Pompaggi].[tipo].[All]" dimensionUniqueName="[Pompaggi]" displayFolder="" count="0" memberValueDatatype="130" unbalanced="0"/>
    <cacheHierarchy uniqueName="[Pompaggi].[Pompaggi]" caption="Pompaggi" attribute="1" defaultMemberUniqueName="[Pompaggi].[Pompaggi].[All]" allUniqueName="[Pompaggi].[Pompaggi].[All]" dimensionUniqueName="[Pompaggi]" displayFolder="" count="0" memberValueDatatype="5" unbalanced="0"/>
    <cacheHierarchy uniqueName="[Termico].[dt_flusso]" caption="dt_flusso" attribute="1" time="1" defaultMemberUniqueName="[Termico].[dt_flusso].[All]" allUniqueName="[Termico].[dt_flusso].[All]" dimensionUniqueName="[Termico]" displayFolder="" count="0" memberValueDatatype="7" unbalanced="0"/>
    <cacheHierarchy uniqueName="[Termico].[tipo]" caption="tipo" attribute="1" defaultMemberUniqueName="[Termico].[tipo].[All]" allUniqueName="[Termico].[tipo].[All]" dimensionUniqueName="[Termico]" displayFolder="" count="0" memberValueDatatype="130" unbalanced="0"/>
    <cacheHierarchy uniqueName="[Termico].[Termico]" caption="Termico" attribute="1" defaultMemberUniqueName="[Termico].[Termico].[All]" allUniqueName="[Termico].[Termico].[All]" dimensionUniqueName="[Termico]" displayFolder="" count="0" memberValueDatatype="5" unbalanced="0"/>
    <cacheHierarchy uniqueName="[Totale].[dt_flusso]" caption="dt_flusso" attribute="1" time="1" defaultMemberUniqueName="[Totale].[dt_flusso].[All]" allUniqueName="[Totale].[dt_flusso].[All]" dimensionUniqueName="[Totale]" displayFolder="" count="2" memberValueDatatype="7" unbalanced="0">
      <fieldsUsage count="2">
        <fieldUsage x="-1"/>
        <fieldUsage x="0"/>
      </fieldsUsage>
    </cacheHierarchy>
    <cacheHierarchy uniqueName="[Totale].[Totale]" caption="Totale" attribute="1" defaultMemberUniqueName="[Totale].[Totale].[All]" allUniqueName="[Totale].[Totale].[All]" dimensionUniqueName="[Totale]" displayFolder="" count="0" memberValueDatatype="5" unbalanced="0"/>
    <cacheHierarchy uniqueName="[TotalePerZona].[dt_flusso]" caption="dt_flusso" attribute="1" time="1" defaultMemberUniqueName="[TotalePerZona].[dt_flusso].[All]" allUniqueName="[TotalePerZona].[dt_flusso].[All]" dimensionUniqueName="[TotalePerZona]" displayFolder="" count="0" memberValueDatatype="7" unbalanced="0"/>
    <cacheHierarchy uniqueName="[TotalePerZona].[zona]" caption="zona" attribute="1" defaultMemberUniqueName="[TotalePerZona].[zona].[All]" allUniqueName="[TotalePerZona].[zona].[All]" dimensionUniqueName="[TotalePerZona]" displayFolder="" count="0" memberValueDatatype="130" unbalanced="0"/>
    <cacheHierarchy uniqueName="[TotalePerZona].[TotaleZona]" caption="TotaleZona" attribute="1" defaultMemberUniqueName="[TotalePerZona].[TotaleZona].[All]" allUniqueName="[TotalePerZona].[TotaleZona].[All]" dimensionUniqueName="[TotalePerZona]" displayFolder="" count="0" memberValueDatatype="5" unbalanced="0"/>
    <cacheHierarchy uniqueName="[Measures].[Somma di Termico]" caption="Somma di Termico" measure="1" displayFolder="" measureGroup="Termico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a di Totale]" caption="Somma di Totale" measure="1" displayFolder="" measureGroup="Totale" count="0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a di Pompaggi]" caption="Somma di Pompaggi" measure="1" displayFolder="" measureGroup="Pompaggi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a di Idrico]" caption="Somma di Idrico" measure="1" displayFolder="" measureGroup="Idrico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a di Eolico]" caption="Somma di Eolico" measure="1" displayFolder="" measureGroup="Eolico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ma di TotaleZona]" caption="Somma di TotaleZona" measure="1" displayFolder="" measureGroup="TotalePerZona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ma di remit_oraria]" caption="Somma di remit_oraria" measure="1" displayFolder="" measureGroup="Oraria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a di remit]" caption="Somma di remit" measure="1" displayFolder="" measureGroup="Giornaliera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__XL_Count Totale]" caption="__XL_Count Totale" measure="1" displayFolder="" measureGroup="Totale" count="0" hidden="1"/>
    <cacheHierarchy uniqueName="[Measures].[__XL_Count Idrico]" caption="__XL_Count Idrico" measure="1" displayFolder="" measureGroup="Idrico" count="0" hidden="1"/>
    <cacheHierarchy uniqueName="[Measures].[__XL_Count Termico]" caption="__XL_Count Termico" measure="1" displayFolder="" measureGroup="Termico" count="0" hidden="1"/>
    <cacheHierarchy uniqueName="[Measures].[__XL_Count Pompaggi]" caption="__XL_Count Pompaggi" measure="1" displayFolder="" measureGroup="Pompaggi" count="0" hidden="1"/>
    <cacheHierarchy uniqueName="[Measures].[__XL_Count Eolico]" caption="__XL_Count Eolico" measure="1" displayFolder="" measureGroup="Eolico" count="0" hidden="1"/>
    <cacheHierarchy uniqueName="[Measures].[__XL_Count TotalePerZona]" caption="__XL_Count TotalePerZona" measure="1" displayFolder="" measureGroup="TotalePerZona" count="0" hidden="1"/>
    <cacheHierarchy uniqueName="[Measures].[__XL_Count Oraria]" caption="__XL_Count Oraria" measure="1" displayFolder="" measureGroup="Oraria" count="0" hidden="1"/>
    <cacheHierarchy uniqueName="[Measures].[__XL_Count Giornaliera]" caption="__XL_Count Giornaliera" measure="1" displayFolder="" measureGroup="Giornaliera" count="0" hidden="1"/>
    <cacheHierarchy uniqueName="[Measures].[__XL_Count of Models]" caption="__XL_Count of Models" measure="1" displayFolder="" count="0" hidden="1"/>
  </cacheHierarchies>
  <kpis count="0"/>
  <dimensions count="9">
    <dimension name="Eolico" uniqueName="[Eolico]" caption="Eolico"/>
    <dimension name="Giornaliera" uniqueName="[Giornaliera]" caption="Giornaliera"/>
    <dimension name="Idrico" uniqueName="[Idrico]" caption="Idrico"/>
    <dimension measure="1" name="Measures" uniqueName="[Measures]" caption="Measures"/>
    <dimension name="Oraria" uniqueName="[Oraria]" caption="Oraria"/>
    <dimension name="Pompaggi" uniqueName="[Pompaggi]" caption="Pompaggi"/>
    <dimension name="Termico" uniqueName="[Termico]" caption="Termico"/>
    <dimension name="Totale" uniqueName="[Totale]" caption="Totale"/>
    <dimension name="TotalePerZona" uniqueName="[TotalePerZona]" caption="TotalePerZona"/>
  </dimensions>
  <measureGroups count="8">
    <measureGroup name="Eolico" caption="Eolico"/>
    <measureGroup name="Giornaliera" caption="Giornaliera"/>
    <measureGroup name="Idrico" caption="Idrico"/>
    <measureGroup name="Oraria" caption="Oraria"/>
    <measureGroup name="Pompaggi" caption="Pompaggi"/>
    <measureGroup name="Termico" caption="Termico"/>
    <measureGroup name="Totale" caption="Totale"/>
    <measureGroup name="TotalePerZona" caption="TotalePerZona"/>
  </measureGroups>
  <maps count="12">
    <map measureGroup="0" dimension="0"/>
    <map measureGroup="0" dimension="7"/>
    <map measureGroup="1" dimension="1"/>
    <map measureGroup="2" dimension="2"/>
    <map measureGroup="2" dimension="7"/>
    <map measureGroup="3" dimension="4"/>
    <map measureGroup="4" dimension="5"/>
    <map measureGroup="4" dimension="7"/>
    <map measureGroup="5" dimension="6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pivotCacheId="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OnLoad="1" refreshedBy="eni S.p.A." refreshedDate="43233.880678587964" createdVersion="5" refreshedVersion="5" minRefreshableVersion="3" recordCount="0" supportSubquery="1" supportAdvancedDrill="1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2">
    <cacheField name="[Measures].[Somma di Idrico]" caption="Somma di Idrico" numFmtId="0" hierarchy="27" level="32767"/>
    <cacheField name="[Totale].[dt_flusso].[dt_flusso]" caption="dt_flusso" numFmtId="0" hierarchy="19" level="1">
      <sharedItems containsSemiMixedTypes="0" containsNonDate="0" containsDate="1" containsString="0" minDate="2018-04-01T00:00:00" maxDate="2018-06-01T00:00:00" count="61"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</sharedItems>
    </cacheField>
  </cacheFields>
  <cacheHierarchies count="41">
    <cacheHierarchy uniqueName="[Eolico].[dt_flusso]" caption="dt_flusso" attribute="1" time="1" defaultMemberUniqueName="[Eolico].[dt_flusso].[All]" allUniqueName="[Eolico].[dt_flusso].[All]" dimensionUniqueName="[Eolico]" displayFolder="" count="0" memberValueDatatype="7" unbalanced="0"/>
    <cacheHierarchy uniqueName="[Eolico].[tipo]" caption="tipo" attribute="1" defaultMemberUniqueName="[Eolico].[tipo].[All]" allUniqueName="[Eolico].[tipo].[All]" dimensionUniqueName="[Eolico]" displayFolder="" count="0" memberValueDatatype="130" unbalanced="0"/>
    <cacheHierarchy uniqueName="[Eolico].[Eolico]" caption="Eolico" attribute="1" defaultMemberUniqueName="[Eolico].[Eolico].[All]" allUniqueName="[Eolico].[Eolico].[All]" dimensionUniqueName="[Eolico]" displayFolder="" count="0" memberValueDatatype="5" unbalanced="0"/>
    <cacheHierarchy uniqueName="[Giornaliera].[dt_flusso]" caption="dt_flusso" attribute="1" time="1" defaultMemberUniqueName="[Giornaliera].[dt_flusso].[All]" allUniqueName="[Giornaliera].[dt_flusso].[All]" dimensionUniqueName="[Giornaliera]" displayFolder="" count="0" memberValueDatatype="7" unbalanced="0"/>
    <cacheHierarchy uniqueName="[Giornaliera].[tipo]" caption="tipo" attribute="1" defaultMemberUniqueName="[Giornaliera].[tipo].[All]" allUniqueName="[Giornaliera].[tipo].[All]" dimensionUniqueName="[Giornaliera]" displayFolder="" count="0" memberValueDatatype="130" unbalanced="0"/>
    <cacheHierarchy uniqueName="[Giornaliera].[remit]" caption="remit" attribute="1" defaultMemberUniqueName="[Giornaliera].[remit].[All]" allUniqueName="[Giornaliera].[remit].[All]" dimensionUniqueName="[Giornaliera]" displayFolder="" count="0" memberValueDatatype="5" unbalanced="0"/>
    <cacheHierarchy uniqueName="[Idrico].[dt_flusso]" caption="dt_flusso" attribute="1" time="1" defaultMemberUniqueName="[Idrico].[dt_flusso].[All]" allUniqueName="[Idrico].[dt_flusso].[All]" dimensionUniqueName="[Idrico]" displayFolder="" count="0" memberValueDatatype="7" unbalanced="0"/>
    <cacheHierarchy uniqueName="[Idrico].[tipo]" caption="tipo" attribute="1" defaultMemberUniqueName="[Idrico].[tipo].[All]" allUniqueName="[Idrico].[tipo].[All]" dimensionUniqueName="[Idrico]" displayFolder="" count="0" memberValueDatatype="130" unbalanced="0"/>
    <cacheHierarchy uniqueName="[Idrico].[Idrico]" caption="Idrico" attribute="1" defaultMemberUniqueName="[Idrico].[Idrico].[All]" allUniqueName="[Idrico].[Idrico].[All]" dimensionUniqueName="[Idrico]" displayFolder="" count="0" memberValueDatatype="5" unbalanced="0"/>
    <cacheHierarchy uniqueName="[Oraria].[dt_flusso]" caption="dt_flusso" attribute="1" time="1" defaultMemberUniqueName="[Oraria].[dt_flusso].[All]" allUniqueName="[Oraria].[dt_flusso].[All]" dimensionUniqueName="[Oraria]" displayFolder="" count="0" memberValueDatatype="7" unbalanced="0"/>
    <cacheHierarchy uniqueName="[Oraria].[hour]" caption="hour" attribute="1" defaultMemberUniqueName="[Oraria].[hour].[All]" allUniqueName="[Oraria].[hour].[All]" dimensionUniqueName="[Oraria]" displayFolder="" count="0" memberValueDatatype="20" unbalanced="0"/>
    <cacheHierarchy uniqueName="[Oraria].[tipo]" caption="tipo" attribute="1" defaultMemberUniqueName="[Oraria].[tipo].[All]" allUniqueName="[Oraria].[tipo].[All]" dimensionUniqueName="[Oraria]" displayFolder="" count="0" memberValueDatatype="130" unbalanced="0"/>
    <cacheHierarchy uniqueName="[Oraria].[remit_oraria]" caption="remit_oraria" attribute="1" defaultMemberUniqueName="[Oraria].[remit_oraria].[All]" allUniqueName="[Oraria].[remit_oraria].[All]" dimensionUniqueName="[Oraria]" displayFolder="" count="0" memberValueDatatype="5" unbalanced="0"/>
    <cacheHierarchy uniqueName="[Pompaggi].[dt_flusso]" caption="dt_flusso" attribute="1" time="1" defaultMemberUniqueName="[Pompaggi].[dt_flusso].[All]" allUniqueName="[Pompaggi].[dt_flusso].[All]" dimensionUniqueName="[Pompaggi]" displayFolder="" count="0" memberValueDatatype="7" unbalanced="0"/>
    <cacheHierarchy uniqueName="[Pompaggi].[tipo]" caption="tipo" attribute="1" defaultMemberUniqueName="[Pompaggi].[tipo].[All]" allUniqueName="[Pompaggi].[tipo].[All]" dimensionUniqueName="[Pompaggi]" displayFolder="" count="0" memberValueDatatype="130" unbalanced="0"/>
    <cacheHierarchy uniqueName="[Pompaggi].[Pompaggi]" caption="Pompaggi" attribute="1" defaultMemberUniqueName="[Pompaggi].[Pompaggi].[All]" allUniqueName="[Pompaggi].[Pompaggi].[All]" dimensionUniqueName="[Pompaggi]" displayFolder="" count="0" memberValueDatatype="5" unbalanced="0"/>
    <cacheHierarchy uniqueName="[Termico].[dt_flusso]" caption="dt_flusso" attribute="1" time="1" defaultMemberUniqueName="[Termico].[dt_flusso].[All]" allUniqueName="[Termico].[dt_flusso].[All]" dimensionUniqueName="[Termico]" displayFolder="" count="0" memberValueDatatype="7" unbalanced="0"/>
    <cacheHierarchy uniqueName="[Termico].[tipo]" caption="tipo" attribute="1" defaultMemberUniqueName="[Termico].[tipo].[All]" allUniqueName="[Termico].[tipo].[All]" dimensionUniqueName="[Termico]" displayFolder="" count="0" memberValueDatatype="130" unbalanced="0"/>
    <cacheHierarchy uniqueName="[Termico].[Termico]" caption="Termico" attribute="1" defaultMemberUniqueName="[Termico].[Termico].[All]" allUniqueName="[Termico].[Termico].[All]" dimensionUniqueName="[Termico]" displayFolder="" count="0" memberValueDatatype="5" unbalanced="0"/>
    <cacheHierarchy uniqueName="[Totale].[dt_flusso]" caption="dt_flusso" attribute="1" time="1" defaultMemberUniqueName="[Totale].[dt_flusso].[All]" allUniqueName="[Totale].[dt_flusso].[All]" dimensionUniqueName="[Totale]" displayFolder="" count="2" memberValueDatatype="7" unbalanced="0">
      <fieldsUsage count="2">
        <fieldUsage x="-1"/>
        <fieldUsage x="1"/>
      </fieldsUsage>
    </cacheHierarchy>
    <cacheHierarchy uniqueName="[Totale].[Totale]" caption="Totale" attribute="1" defaultMemberUniqueName="[Totale].[Totale].[All]" allUniqueName="[Totale].[Totale].[All]" dimensionUniqueName="[Totale]" displayFolder="" count="0" memberValueDatatype="5" unbalanced="0"/>
    <cacheHierarchy uniqueName="[TotalePerZona].[dt_flusso]" caption="dt_flusso" attribute="1" time="1" defaultMemberUniqueName="[TotalePerZona].[dt_flusso].[All]" allUniqueName="[TotalePerZona].[dt_flusso].[All]" dimensionUniqueName="[TotalePerZona]" displayFolder="" count="0" memberValueDatatype="7" unbalanced="0"/>
    <cacheHierarchy uniqueName="[TotalePerZona].[zona]" caption="zona" attribute="1" defaultMemberUniqueName="[TotalePerZona].[zona].[All]" allUniqueName="[TotalePerZona].[zona].[All]" dimensionUniqueName="[TotalePerZona]" displayFolder="" count="0" memberValueDatatype="130" unbalanced="0"/>
    <cacheHierarchy uniqueName="[TotalePerZona].[TotaleZona]" caption="TotaleZona" attribute="1" defaultMemberUniqueName="[TotalePerZona].[TotaleZona].[All]" allUniqueName="[TotalePerZona].[TotaleZona].[All]" dimensionUniqueName="[TotalePerZona]" displayFolder="" count="0" memberValueDatatype="5" unbalanced="0"/>
    <cacheHierarchy uniqueName="[Measures].[Somma di Termico]" caption="Somma di Termico" measure="1" displayFolder="" measureGroup="Termico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a di Totale]" caption="Somma di Totale" measure="1" displayFolder="" measureGroup="Totale" count="0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a di Pompaggi]" caption="Somma di Pompaggi" measure="1" displayFolder="" measureGroup="Pompaggi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a di Idrico]" caption="Somma di Idrico" measure="1" displayFolder="" measureGroup="Idrico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a di Eolico]" caption="Somma di Eolico" measure="1" displayFolder="" measureGroup="Eolico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ma di TotaleZona]" caption="Somma di TotaleZona" measure="1" displayFolder="" measureGroup="TotalePerZona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ma di remit_oraria]" caption="Somma di remit_oraria" measure="1" displayFolder="" measureGroup="Oraria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a di remit]" caption="Somma di remit" measure="1" displayFolder="" measureGroup="Giornaliera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__XL_Count Totale]" caption="__XL_Count Totale" measure="1" displayFolder="" measureGroup="Totale" count="0" hidden="1"/>
    <cacheHierarchy uniqueName="[Measures].[__XL_Count Idrico]" caption="__XL_Count Idrico" measure="1" displayFolder="" measureGroup="Idrico" count="0" hidden="1"/>
    <cacheHierarchy uniqueName="[Measures].[__XL_Count Termico]" caption="__XL_Count Termico" measure="1" displayFolder="" measureGroup="Termico" count="0" hidden="1"/>
    <cacheHierarchy uniqueName="[Measures].[__XL_Count Pompaggi]" caption="__XL_Count Pompaggi" measure="1" displayFolder="" measureGroup="Pompaggi" count="0" hidden="1"/>
    <cacheHierarchy uniqueName="[Measures].[__XL_Count Eolico]" caption="__XL_Count Eolico" measure="1" displayFolder="" measureGroup="Eolico" count="0" hidden="1"/>
    <cacheHierarchy uniqueName="[Measures].[__XL_Count TotalePerZona]" caption="__XL_Count TotalePerZona" measure="1" displayFolder="" measureGroup="TotalePerZona" count="0" hidden="1"/>
    <cacheHierarchy uniqueName="[Measures].[__XL_Count Oraria]" caption="__XL_Count Oraria" measure="1" displayFolder="" measureGroup="Oraria" count="0" hidden="1"/>
    <cacheHierarchy uniqueName="[Measures].[__XL_Count Giornaliera]" caption="__XL_Count Giornaliera" measure="1" displayFolder="" measureGroup="Giornaliera" count="0" hidden="1"/>
    <cacheHierarchy uniqueName="[Measures].[__XL_Count of Models]" caption="__XL_Count of Models" measure="1" displayFolder="" count="0" hidden="1"/>
  </cacheHierarchies>
  <kpis count="0"/>
  <dimensions count="9">
    <dimension name="Eolico" uniqueName="[Eolico]" caption="Eolico"/>
    <dimension name="Giornaliera" uniqueName="[Giornaliera]" caption="Giornaliera"/>
    <dimension name="Idrico" uniqueName="[Idrico]" caption="Idrico"/>
    <dimension measure="1" name="Measures" uniqueName="[Measures]" caption="Measures"/>
    <dimension name="Oraria" uniqueName="[Oraria]" caption="Oraria"/>
    <dimension name="Pompaggi" uniqueName="[Pompaggi]" caption="Pompaggi"/>
    <dimension name="Termico" uniqueName="[Termico]" caption="Termico"/>
    <dimension name="Totale" uniqueName="[Totale]" caption="Totale"/>
    <dimension name="TotalePerZona" uniqueName="[TotalePerZona]" caption="TotalePerZona"/>
  </dimensions>
  <measureGroups count="8">
    <measureGroup name="Eolico" caption="Eolico"/>
    <measureGroup name="Giornaliera" caption="Giornaliera"/>
    <measureGroup name="Idrico" caption="Idrico"/>
    <measureGroup name="Oraria" caption="Oraria"/>
    <measureGroup name="Pompaggi" caption="Pompaggi"/>
    <measureGroup name="Termico" caption="Termico"/>
    <measureGroup name="Totale" caption="Totale"/>
    <measureGroup name="TotalePerZona" caption="TotalePerZona"/>
  </measureGroups>
  <maps count="12">
    <map measureGroup="0" dimension="0"/>
    <map measureGroup="0" dimension="7"/>
    <map measureGroup="1" dimension="1"/>
    <map measureGroup="2" dimension="2"/>
    <map measureGroup="2" dimension="7"/>
    <map measureGroup="3" dimension="4"/>
    <map measureGroup="4" dimension="5"/>
    <map measureGroup="4" dimension="7"/>
    <map measureGroup="5" dimension="6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pivotCacheId="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refreshOnLoad="1" refreshedBy="eni S.p.A." refreshedDate="43233.880749421296" createdVersion="5" refreshedVersion="5" minRefreshableVersion="3" recordCount="0" supportSubquery="1" supportAdvancedDrill="1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6">
    <cacheField name="[Measures].[Somma di Totale]" caption="Somma di Totale" numFmtId="0" hierarchy="25" level="32767"/>
    <cacheField name="[Totale].[dt_flusso].[dt_flusso]" caption="dt_flusso" numFmtId="0" hierarchy="19" level="1">
      <sharedItems containsSemiMixedTypes="0" containsNonDate="0" containsDate="1" containsString="0" minDate="2018-04-01T00:00:00" maxDate="2018-06-01T00:00:00" count="61"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</sharedItems>
    </cacheField>
    <cacheField name="[Measures].[Somma di Termico]" caption="Somma di Termico" numFmtId="0" hierarchy="24" level="32767"/>
    <cacheField name="[Measures].[Somma di Pompaggi]" caption="Somma di Pompaggi" numFmtId="0" hierarchy="26" level="32767"/>
    <cacheField name="[Measures].[Somma di Idrico]" caption="Somma di Idrico" numFmtId="0" hierarchy="27" level="32767"/>
    <cacheField name="[Measures].[Somma di Eolico]" caption="Somma di Eolico" numFmtId="0" hierarchy="28" level="32767"/>
  </cacheFields>
  <cacheHierarchies count="41">
    <cacheHierarchy uniqueName="[Eolico].[dt_flusso]" caption="dt_flusso" attribute="1" time="1" defaultMemberUniqueName="[Eolico].[dt_flusso].[All]" allUniqueName="[Eolico].[dt_flusso].[All]" dimensionUniqueName="[Eolico]" displayFolder="" count="0" memberValueDatatype="7" unbalanced="0"/>
    <cacheHierarchy uniqueName="[Eolico].[tipo]" caption="tipo" attribute="1" defaultMemberUniqueName="[Eolico].[tipo].[All]" allUniqueName="[Eolico].[tipo].[All]" dimensionUniqueName="[Eolico]" displayFolder="" count="0" memberValueDatatype="130" unbalanced="0"/>
    <cacheHierarchy uniqueName="[Eolico].[Eolico]" caption="Eolico" attribute="1" defaultMemberUniqueName="[Eolico].[Eolico].[All]" allUniqueName="[Eolico].[Eolico].[All]" dimensionUniqueName="[Eolico]" displayFolder="" count="0" memberValueDatatype="5" unbalanced="0"/>
    <cacheHierarchy uniqueName="[Giornaliera].[dt_flusso]" caption="dt_flusso" attribute="1" time="1" defaultMemberUniqueName="[Giornaliera].[dt_flusso].[All]" allUniqueName="[Giornaliera].[dt_flusso].[All]" dimensionUniqueName="[Giornaliera]" displayFolder="" count="0" memberValueDatatype="7" unbalanced="0"/>
    <cacheHierarchy uniqueName="[Giornaliera].[tipo]" caption="tipo" attribute="1" defaultMemberUniqueName="[Giornaliera].[tipo].[All]" allUniqueName="[Giornaliera].[tipo].[All]" dimensionUniqueName="[Giornaliera]" displayFolder="" count="0" memberValueDatatype="130" unbalanced="0"/>
    <cacheHierarchy uniqueName="[Giornaliera].[remit]" caption="remit" attribute="1" defaultMemberUniqueName="[Giornaliera].[remit].[All]" allUniqueName="[Giornaliera].[remit].[All]" dimensionUniqueName="[Giornaliera]" displayFolder="" count="0" memberValueDatatype="5" unbalanced="0"/>
    <cacheHierarchy uniqueName="[Idrico].[dt_flusso]" caption="dt_flusso" attribute="1" time="1" defaultMemberUniqueName="[Idrico].[dt_flusso].[All]" allUniqueName="[Idrico].[dt_flusso].[All]" dimensionUniqueName="[Idrico]" displayFolder="" count="0" memberValueDatatype="7" unbalanced="0"/>
    <cacheHierarchy uniqueName="[Idrico].[tipo]" caption="tipo" attribute="1" defaultMemberUniqueName="[Idrico].[tipo].[All]" allUniqueName="[Idrico].[tipo].[All]" dimensionUniqueName="[Idrico]" displayFolder="" count="0" memberValueDatatype="130" unbalanced="0"/>
    <cacheHierarchy uniqueName="[Idrico].[Idrico]" caption="Idrico" attribute="1" defaultMemberUniqueName="[Idrico].[Idrico].[All]" allUniqueName="[Idrico].[Idrico].[All]" dimensionUniqueName="[Idrico]" displayFolder="" count="0" memberValueDatatype="5" unbalanced="0"/>
    <cacheHierarchy uniqueName="[Oraria].[dt_flusso]" caption="dt_flusso" attribute="1" time="1" defaultMemberUniqueName="[Oraria].[dt_flusso].[All]" allUniqueName="[Oraria].[dt_flusso].[All]" dimensionUniqueName="[Oraria]" displayFolder="" count="0" memberValueDatatype="7" unbalanced="0"/>
    <cacheHierarchy uniqueName="[Oraria].[hour]" caption="hour" attribute="1" defaultMemberUniqueName="[Oraria].[hour].[All]" allUniqueName="[Oraria].[hour].[All]" dimensionUniqueName="[Oraria]" displayFolder="" count="0" memberValueDatatype="20" unbalanced="0"/>
    <cacheHierarchy uniqueName="[Oraria].[tipo]" caption="tipo" attribute="1" defaultMemberUniqueName="[Oraria].[tipo].[All]" allUniqueName="[Oraria].[tipo].[All]" dimensionUniqueName="[Oraria]" displayFolder="" count="0" memberValueDatatype="130" unbalanced="0"/>
    <cacheHierarchy uniqueName="[Oraria].[remit_oraria]" caption="remit_oraria" attribute="1" defaultMemberUniqueName="[Oraria].[remit_oraria].[All]" allUniqueName="[Oraria].[remit_oraria].[All]" dimensionUniqueName="[Oraria]" displayFolder="" count="0" memberValueDatatype="5" unbalanced="0"/>
    <cacheHierarchy uniqueName="[Pompaggi].[dt_flusso]" caption="dt_flusso" attribute="1" time="1" defaultMemberUniqueName="[Pompaggi].[dt_flusso].[All]" allUniqueName="[Pompaggi].[dt_flusso].[All]" dimensionUniqueName="[Pompaggi]" displayFolder="" count="0" memberValueDatatype="7" unbalanced="0"/>
    <cacheHierarchy uniqueName="[Pompaggi].[tipo]" caption="tipo" attribute="1" defaultMemberUniqueName="[Pompaggi].[tipo].[All]" allUniqueName="[Pompaggi].[tipo].[All]" dimensionUniqueName="[Pompaggi]" displayFolder="" count="0" memberValueDatatype="130" unbalanced="0"/>
    <cacheHierarchy uniqueName="[Pompaggi].[Pompaggi]" caption="Pompaggi" attribute="1" defaultMemberUniqueName="[Pompaggi].[Pompaggi].[All]" allUniqueName="[Pompaggi].[Pompaggi].[All]" dimensionUniqueName="[Pompaggi]" displayFolder="" count="0" memberValueDatatype="5" unbalanced="0"/>
    <cacheHierarchy uniqueName="[Termico].[dt_flusso]" caption="dt_flusso" attribute="1" time="1" defaultMemberUniqueName="[Termico].[dt_flusso].[All]" allUniqueName="[Termico].[dt_flusso].[All]" dimensionUniqueName="[Termico]" displayFolder="" count="0" memberValueDatatype="7" unbalanced="0"/>
    <cacheHierarchy uniqueName="[Termico].[tipo]" caption="tipo" attribute="1" defaultMemberUniqueName="[Termico].[tipo].[All]" allUniqueName="[Termico].[tipo].[All]" dimensionUniqueName="[Termico]" displayFolder="" count="0" memberValueDatatype="130" unbalanced="0"/>
    <cacheHierarchy uniqueName="[Termico].[Termico]" caption="Termico" attribute="1" defaultMemberUniqueName="[Termico].[Termico].[All]" allUniqueName="[Termico].[Termico].[All]" dimensionUniqueName="[Termico]" displayFolder="" count="0" memberValueDatatype="5" unbalanced="0"/>
    <cacheHierarchy uniqueName="[Totale].[dt_flusso]" caption="dt_flusso" attribute="1" time="1" defaultMemberUniqueName="[Totale].[dt_flusso].[All]" allUniqueName="[Totale].[dt_flusso].[All]" dimensionUniqueName="[Totale]" displayFolder="" count="2" memberValueDatatype="7" unbalanced="0">
      <fieldsUsage count="2">
        <fieldUsage x="-1"/>
        <fieldUsage x="1"/>
      </fieldsUsage>
    </cacheHierarchy>
    <cacheHierarchy uniqueName="[Totale].[Totale]" caption="Totale" attribute="1" defaultMemberUniqueName="[Totale].[Totale].[All]" allUniqueName="[Totale].[Totale].[All]" dimensionUniqueName="[Totale]" displayFolder="" count="0" memberValueDatatype="5" unbalanced="0"/>
    <cacheHierarchy uniqueName="[TotalePerZona].[dt_flusso]" caption="dt_flusso" attribute="1" time="1" defaultMemberUniqueName="[TotalePerZona].[dt_flusso].[All]" allUniqueName="[TotalePerZona].[dt_flusso].[All]" dimensionUniqueName="[TotalePerZona]" displayFolder="" count="0" memberValueDatatype="7" unbalanced="0"/>
    <cacheHierarchy uniqueName="[TotalePerZona].[zona]" caption="zona" attribute="1" defaultMemberUniqueName="[TotalePerZona].[zona].[All]" allUniqueName="[TotalePerZona].[zona].[All]" dimensionUniqueName="[TotalePerZona]" displayFolder="" count="0" memberValueDatatype="130" unbalanced="0"/>
    <cacheHierarchy uniqueName="[TotalePerZona].[TotaleZona]" caption="TotaleZona" attribute="1" defaultMemberUniqueName="[TotalePerZona].[TotaleZona].[All]" allUniqueName="[TotalePerZona].[TotaleZona].[All]" dimensionUniqueName="[TotalePerZona]" displayFolder="" count="0" memberValueDatatype="5" unbalanced="0"/>
    <cacheHierarchy uniqueName="[Measures].[Somma di Termico]" caption="Somma di Termico" measure="1" displayFolder="" measureGroup="Termico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a di Totale]" caption="Somma di Totale" measure="1" displayFolder="" measureGroup="Totale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a di Pompaggi]" caption="Somma di Pompaggi" measure="1" displayFolder="" measureGroup="Pompaggi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a di Idrico]" caption="Somma di Idrico" measure="1" displayFolder="" measureGroup="Idrico" count="0" oneField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a di Eolico]" caption="Somma di Eolico" measure="1" displayFolder="" measureGroup="Eolico" count="0" oneField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ma di TotaleZona]" caption="Somma di TotaleZona" measure="1" displayFolder="" measureGroup="TotalePerZona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ma di remit_oraria]" caption="Somma di remit_oraria" measure="1" displayFolder="" measureGroup="Oraria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a di remit]" caption="Somma di remit" measure="1" displayFolder="" measureGroup="Giornaliera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__XL_Count Totale]" caption="__XL_Count Totale" measure="1" displayFolder="" measureGroup="Totale" count="0" hidden="1"/>
    <cacheHierarchy uniqueName="[Measures].[__XL_Count Idrico]" caption="__XL_Count Idrico" measure="1" displayFolder="" measureGroup="Idrico" count="0" hidden="1"/>
    <cacheHierarchy uniqueName="[Measures].[__XL_Count Termico]" caption="__XL_Count Termico" measure="1" displayFolder="" measureGroup="Termico" count="0" hidden="1"/>
    <cacheHierarchy uniqueName="[Measures].[__XL_Count Pompaggi]" caption="__XL_Count Pompaggi" measure="1" displayFolder="" measureGroup="Pompaggi" count="0" hidden="1"/>
    <cacheHierarchy uniqueName="[Measures].[__XL_Count Eolico]" caption="__XL_Count Eolico" measure="1" displayFolder="" measureGroup="Eolico" count="0" hidden="1"/>
    <cacheHierarchy uniqueName="[Measures].[__XL_Count TotalePerZona]" caption="__XL_Count TotalePerZona" measure="1" displayFolder="" measureGroup="TotalePerZona" count="0" hidden="1"/>
    <cacheHierarchy uniqueName="[Measures].[__XL_Count Oraria]" caption="__XL_Count Oraria" measure="1" displayFolder="" measureGroup="Oraria" count="0" hidden="1"/>
    <cacheHierarchy uniqueName="[Measures].[__XL_Count Giornaliera]" caption="__XL_Count Giornaliera" measure="1" displayFolder="" measureGroup="Giornaliera" count="0" hidden="1"/>
    <cacheHierarchy uniqueName="[Measures].[__XL_Count of Models]" caption="__XL_Count of Models" measure="1" displayFolder="" count="0" hidden="1"/>
  </cacheHierarchies>
  <kpis count="0"/>
  <dimensions count="9">
    <dimension name="Eolico" uniqueName="[Eolico]" caption="Eolico"/>
    <dimension name="Giornaliera" uniqueName="[Giornaliera]" caption="Giornaliera"/>
    <dimension name="Idrico" uniqueName="[Idrico]" caption="Idrico"/>
    <dimension measure="1" name="Measures" uniqueName="[Measures]" caption="Measures"/>
    <dimension name="Oraria" uniqueName="[Oraria]" caption="Oraria"/>
    <dimension name="Pompaggi" uniqueName="[Pompaggi]" caption="Pompaggi"/>
    <dimension name="Termico" uniqueName="[Termico]" caption="Termico"/>
    <dimension name="Totale" uniqueName="[Totale]" caption="Totale"/>
    <dimension name="TotalePerZona" uniqueName="[TotalePerZona]" caption="TotalePerZona"/>
  </dimensions>
  <measureGroups count="8">
    <measureGroup name="Eolico" caption="Eolico"/>
    <measureGroup name="Giornaliera" caption="Giornaliera"/>
    <measureGroup name="Idrico" caption="Idrico"/>
    <measureGroup name="Oraria" caption="Oraria"/>
    <measureGroup name="Pompaggi" caption="Pompaggi"/>
    <measureGroup name="Termico" caption="Termico"/>
    <measureGroup name="Totale" caption="Totale"/>
    <measureGroup name="TotalePerZona" caption="TotalePerZona"/>
  </measureGroups>
  <maps count="12">
    <map measureGroup="0" dimension="0"/>
    <map measureGroup="0" dimension="7"/>
    <map measureGroup="1" dimension="1"/>
    <map measureGroup="2" dimension="2"/>
    <map measureGroup="2" dimension="7"/>
    <map measureGroup="3" dimension="4"/>
    <map measureGroup="4" dimension="5"/>
    <map measureGroup="4" dimension="7"/>
    <map measureGroup="5" dimension="6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pivotCacheId="2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saveData="0" refreshOnLoad="1" refreshedBy="eni S.p.A." refreshedDate="43233.880750925928" createdVersion="5" refreshedVersion="5" minRefreshableVersion="3" recordCount="0" supportSubquery="1" supportAdvancedDrill="1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2">
    <cacheField name="[Totale].[dt_flusso].[dt_flusso]" caption="dt_flusso" numFmtId="0" hierarchy="19" level="1">
      <sharedItems containsSemiMixedTypes="0" containsNonDate="0" containsDate="1" containsString="0" minDate="2018-04-01T00:00:00" maxDate="2018-06-01T00:00:00" count="61"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</sharedItems>
    </cacheField>
    <cacheField name="[Measures].[Somma di Pompaggi]" caption="Somma di Pompaggi" numFmtId="0" hierarchy="26" level="32767"/>
  </cacheFields>
  <cacheHierarchies count="41">
    <cacheHierarchy uniqueName="[Eolico].[dt_flusso]" caption="dt_flusso" attribute="1" time="1" defaultMemberUniqueName="[Eolico].[dt_flusso].[All]" allUniqueName="[Eolico].[dt_flusso].[All]" dimensionUniqueName="[Eolico]" displayFolder="" count="0" memberValueDatatype="7" unbalanced="0"/>
    <cacheHierarchy uniqueName="[Eolico].[tipo]" caption="tipo" attribute="1" defaultMemberUniqueName="[Eolico].[tipo].[All]" allUniqueName="[Eolico].[tipo].[All]" dimensionUniqueName="[Eolico]" displayFolder="" count="0" memberValueDatatype="130" unbalanced="0"/>
    <cacheHierarchy uniqueName="[Eolico].[Eolico]" caption="Eolico" attribute="1" defaultMemberUniqueName="[Eolico].[Eolico].[All]" allUniqueName="[Eolico].[Eolico].[All]" dimensionUniqueName="[Eolico]" displayFolder="" count="0" memberValueDatatype="5" unbalanced="0"/>
    <cacheHierarchy uniqueName="[Giornaliera].[dt_flusso]" caption="dt_flusso" attribute="1" time="1" defaultMemberUniqueName="[Giornaliera].[dt_flusso].[All]" allUniqueName="[Giornaliera].[dt_flusso].[All]" dimensionUniqueName="[Giornaliera]" displayFolder="" count="0" memberValueDatatype="7" unbalanced="0"/>
    <cacheHierarchy uniqueName="[Giornaliera].[tipo]" caption="tipo" attribute="1" defaultMemberUniqueName="[Giornaliera].[tipo].[All]" allUniqueName="[Giornaliera].[tipo].[All]" dimensionUniqueName="[Giornaliera]" displayFolder="" count="0" memberValueDatatype="130" unbalanced="0"/>
    <cacheHierarchy uniqueName="[Giornaliera].[remit]" caption="remit" attribute="1" defaultMemberUniqueName="[Giornaliera].[remit].[All]" allUniqueName="[Giornaliera].[remit].[All]" dimensionUniqueName="[Giornaliera]" displayFolder="" count="0" memberValueDatatype="5" unbalanced="0"/>
    <cacheHierarchy uniqueName="[Idrico].[dt_flusso]" caption="dt_flusso" attribute="1" time="1" defaultMemberUniqueName="[Idrico].[dt_flusso].[All]" allUniqueName="[Idrico].[dt_flusso].[All]" dimensionUniqueName="[Idrico]" displayFolder="" count="0" memberValueDatatype="7" unbalanced="0"/>
    <cacheHierarchy uniqueName="[Idrico].[tipo]" caption="tipo" attribute="1" defaultMemberUniqueName="[Idrico].[tipo].[All]" allUniqueName="[Idrico].[tipo].[All]" dimensionUniqueName="[Idrico]" displayFolder="" count="0" memberValueDatatype="130" unbalanced="0"/>
    <cacheHierarchy uniqueName="[Idrico].[Idrico]" caption="Idrico" attribute="1" defaultMemberUniqueName="[Idrico].[Idrico].[All]" allUniqueName="[Idrico].[Idrico].[All]" dimensionUniqueName="[Idrico]" displayFolder="" count="0" memberValueDatatype="5" unbalanced="0"/>
    <cacheHierarchy uniqueName="[Oraria].[dt_flusso]" caption="dt_flusso" attribute="1" time="1" defaultMemberUniqueName="[Oraria].[dt_flusso].[All]" allUniqueName="[Oraria].[dt_flusso].[All]" dimensionUniqueName="[Oraria]" displayFolder="" count="0" memberValueDatatype="7" unbalanced="0"/>
    <cacheHierarchy uniqueName="[Oraria].[hour]" caption="hour" attribute="1" defaultMemberUniqueName="[Oraria].[hour].[All]" allUniqueName="[Oraria].[hour].[All]" dimensionUniqueName="[Oraria]" displayFolder="" count="0" memberValueDatatype="20" unbalanced="0"/>
    <cacheHierarchy uniqueName="[Oraria].[tipo]" caption="tipo" attribute="1" defaultMemberUniqueName="[Oraria].[tipo].[All]" allUniqueName="[Oraria].[tipo].[All]" dimensionUniqueName="[Oraria]" displayFolder="" count="0" memberValueDatatype="130" unbalanced="0"/>
    <cacheHierarchy uniqueName="[Oraria].[remit_oraria]" caption="remit_oraria" attribute="1" defaultMemberUniqueName="[Oraria].[remit_oraria].[All]" allUniqueName="[Oraria].[remit_oraria].[All]" dimensionUniqueName="[Oraria]" displayFolder="" count="0" memberValueDatatype="5" unbalanced="0"/>
    <cacheHierarchy uniqueName="[Pompaggi].[dt_flusso]" caption="dt_flusso" attribute="1" time="1" defaultMemberUniqueName="[Pompaggi].[dt_flusso].[All]" allUniqueName="[Pompaggi].[dt_flusso].[All]" dimensionUniqueName="[Pompaggi]" displayFolder="" count="0" memberValueDatatype="7" unbalanced="0"/>
    <cacheHierarchy uniqueName="[Pompaggi].[tipo]" caption="tipo" attribute="1" defaultMemberUniqueName="[Pompaggi].[tipo].[All]" allUniqueName="[Pompaggi].[tipo].[All]" dimensionUniqueName="[Pompaggi]" displayFolder="" count="0" memberValueDatatype="130" unbalanced="0"/>
    <cacheHierarchy uniqueName="[Pompaggi].[Pompaggi]" caption="Pompaggi" attribute="1" defaultMemberUniqueName="[Pompaggi].[Pompaggi].[All]" allUniqueName="[Pompaggi].[Pompaggi].[All]" dimensionUniqueName="[Pompaggi]" displayFolder="" count="0" memberValueDatatype="5" unbalanced="0"/>
    <cacheHierarchy uniqueName="[Termico].[dt_flusso]" caption="dt_flusso" attribute="1" time="1" defaultMemberUniqueName="[Termico].[dt_flusso].[All]" allUniqueName="[Termico].[dt_flusso].[All]" dimensionUniqueName="[Termico]" displayFolder="" count="0" memberValueDatatype="7" unbalanced="0"/>
    <cacheHierarchy uniqueName="[Termico].[tipo]" caption="tipo" attribute="1" defaultMemberUniqueName="[Termico].[tipo].[All]" allUniqueName="[Termico].[tipo].[All]" dimensionUniqueName="[Termico]" displayFolder="" count="0" memberValueDatatype="130" unbalanced="0"/>
    <cacheHierarchy uniqueName="[Termico].[Termico]" caption="Termico" attribute="1" defaultMemberUniqueName="[Termico].[Termico].[All]" allUniqueName="[Termico].[Termico].[All]" dimensionUniqueName="[Termico]" displayFolder="" count="0" memberValueDatatype="5" unbalanced="0"/>
    <cacheHierarchy uniqueName="[Totale].[dt_flusso]" caption="dt_flusso" attribute="1" time="1" defaultMemberUniqueName="[Totale].[dt_flusso].[All]" allUniqueName="[Totale].[dt_flusso].[All]" dimensionUniqueName="[Totale]" displayFolder="" count="2" memberValueDatatype="7" unbalanced="0">
      <fieldsUsage count="2">
        <fieldUsage x="-1"/>
        <fieldUsage x="0"/>
      </fieldsUsage>
    </cacheHierarchy>
    <cacheHierarchy uniqueName="[Totale].[Totale]" caption="Totale" attribute="1" defaultMemberUniqueName="[Totale].[Totale].[All]" allUniqueName="[Totale].[Totale].[All]" dimensionUniqueName="[Totale]" displayFolder="" count="0" memberValueDatatype="5" unbalanced="0"/>
    <cacheHierarchy uniqueName="[TotalePerZona].[dt_flusso]" caption="dt_flusso" attribute="1" time="1" defaultMemberUniqueName="[TotalePerZona].[dt_flusso].[All]" allUniqueName="[TotalePerZona].[dt_flusso].[All]" dimensionUniqueName="[TotalePerZona]" displayFolder="" count="0" memberValueDatatype="7" unbalanced="0"/>
    <cacheHierarchy uniqueName="[TotalePerZona].[zona]" caption="zona" attribute="1" defaultMemberUniqueName="[TotalePerZona].[zona].[All]" allUniqueName="[TotalePerZona].[zona].[All]" dimensionUniqueName="[TotalePerZona]" displayFolder="" count="0" memberValueDatatype="130" unbalanced="0"/>
    <cacheHierarchy uniqueName="[TotalePerZona].[TotaleZona]" caption="TotaleZona" attribute="1" defaultMemberUniqueName="[TotalePerZona].[TotaleZona].[All]" allUniqueName="[TotalePerZona].[TotaleZona].[All]" dimensionUniqueName="[TotalePerZona]" displayFolder="" count="0" memberValueDatatype="5" unbalanced="0"/>
    <cacheHierarchy uniqueName="[Measures].[Somma di Termico]" caption="Somma di Termico" measure="1" displayFolder="" measureGroup="Termico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a di Totale]" caption="Somma di Totale" measure="1" displayFolder="" measureGroup="Totale" count="0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a di Pompaggi]" caption="Somma di Pompaggi" measure="1" displayFolder="" measureGroup="Pompaggi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a di Idrico]" caption="Somma di Idrico" measure="1" displayFolder="" measureGroup="Idrico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a di Eolico]" caption="Somma di Eolico" measure="1" displayFolder="" measureGroup="Eolico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ma di TotaleZona]" caption="Somma di TotaleZona" measure="1" displayFolder="" measureGroup="TotalePerZona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ma di remit_oraria]" caption="Somma di remit_oraria" measure="1" displayFolder="" measureGroup="Oraria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ma di remit]" caption="Somma di remit" measure="1" displayFolder="" measureGroup="Giornaliera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__XL_Count Totale]" caption="__XL_Count Totale" measure="1" displayFolder="" measureGroup="Totale" count="0" hidden="1"/>
    <cacheHierarchy uniqueName="[Measures].[__XL_Count Idrico]" caption="__XL_Count Idrico" measure="1" displayFolder="" measureGroup="Idrico" count="0" hidden="1"/>
    <cacheHierarchy uniqueName="[Measures].[__XL_Count Termico]" caption="__XL_Count Termico" measure="1" displayFolder="" measureGroup="Termico" count="0" hidden="1"/>
    <cacheHierarchy uniqueName="[Measures].[__XL_Count Pompaggi]" caption="__XL_Count Pompaggi" measure="1" displayFolder="" measureGroup="Pompaggi" count="0" hidden="1"/>
    <cacheHierarchy uniqueName="[Measures].[__XL_Count Eolico]" caption="__XL_Count Eolico" measure="1" displayFolder="" measureGroup="Eolico" count="0" hidden="1"/>
    <cacheHierarchy uniqueName="[Measures].[__XL_Count TotalePerZona]" caption="__XL_Count TotalePerZona" measure="1" displayFolder="" measureGroup="TotalePerZona" count="0" hidden="1"/>
    <cacheHierarchy uniqueName="[Measures].[__XL_Count Oraria]" caption="__XL_Count Oraria" measure="1" displayFolder="" measureGroup="Oraria" count="0" hidden="1"/>
    <cacheHierarchy uniqueName="[Measures].[__XL_Count Giornaliera]" caption="__XL_Count Giornaliera" measure="1" displayFolder="" measureGroup="Giornaliera" count="0" hidden="1"/>
    <cacheHierarchy uniqueName="[Measures].[__XL_Count of Models]" caption="__XL_Count of Models" measure="1" displayFolder="" count="0" hidden="1"/>
  </cacheHierarchies>
  <kpis count="0"/>
  <dimensions count="9">
    <dimension name="Eolico" uniqueName="[Eolico]" caption="Eolico"/>
    <dimension name="Giornaliera" uniqueName="[Giornaliera]" caption="Giornaliera"/>
    <dimension name="Idrico" uniqueName="[Idrico]" caption="Idrico"/>
    <dimension measure="1" name="Measures" uniqueName="[Measures]" caption="Measures"/>
    <dimension name="Oraria" uniqueName="[Oraria]" caption="Oraria"/>
    <dimension name="Pompaggi" uniqueName="[Pompaggi]" caption="Pompaggi"/>
    <dimension name="Termico" uniqueName="[Termico]" caption="Termico"/>
    <dimension name="Totale" uniqueName="[Totale]" caption="Totale"/>
    <dimension name="TotalePerZona" uniqueName="[TotalePerZona]" caption="TotalePerZona"/>
  </dimensions>
  <measureGroups count="8">
    <measureGroup name="Eolico" caption="Eolico"/>
    <measureGroup name="Giornaliera" caption="Giornaliera"/>
    <measureGroup name="Idrico" caption="Idrico"/>
    <measureGroup name="Oraria" caption="Oraria"/>
    <measureGroup name="Pompaggi" caption="Pompaggi"/>
    <measureGroup name="Termico" caption="Termico"/>
    <measureGroup name="Totale" caption="Totale"/>
    <measureGroup name="TotalePerZona" caption="TotalePerZona"/>
  </measureGroups>
  <maps count="12">
    <map measureGroup="0" dimension="0"/>
    <map measureGroup="0" dimension="7"/>
    <map measureGroup="1" dimension="1"/>
    <map measureGroup="2" dimension="2"/>
    <map measureGroup="2" dimension="7"/>
    <map measureGroup="3" dimension="4"/>
    <map measureGroup="4" dimension="5"/>
    <map measureGroup="4" dimension="7"/>
    <map measureGroup="5" dimension="6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pivotCacheId="5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ChartTable6" cacheId="94" applyNumberFormats="0" applyBorderFormats="0" applyFontFormats="0" applyPatternFormats="0" applyAlignmentFormats="0" applyWidthHeightFormats="1" dataCaption="Valori" updatedVersion="5" minRefreshableVersion="3" useAutoFormatting="1" itemPrintTitles="1" createdVersion="5" indent="0" showEmptyRow="1" showEmptyCol="1" outline="1" outlineData="1" multipleFieldFilters="0" chartFormat="1">
  <location ref="A1:B63" firstHeaderRow="1" firstDataRow="1" firstDataCol="1"/>
  <pivotFields count="2">
    <pivotField axis="axisRow" allDrilled="1" showAll="0" dataSourceSort="1" defaultAttributeDrillState="1">
      <items count="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t="default"/>
      </items>
    </pivotField>
    <pivotField dataField="1" showAll="0"/>
  </pivotFields>
  <rowFields count="1">
    <field x="0"/>
  </rowFields>
  <rowItems count="6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 t="grand">
      <x/>
    </i>
  </rowItems>
  <colItems count="1">
    <i/>
  </colItems>
  <dataFields count="1">
    <dataField name="Somma di Eolico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2" columnCount="1" cacheId="7"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>
            <x15:v>138</x15:v>
          </x15:c>
        </x15:pivotRow>
        <x15:pivotRow count="1">
          <x15:c>
            <x15:v>138</x15:v>
          </x15:c>
        </x15:pivotRow>
        <x15:pivotRow count="1">
          <x15:c>
            <x15:v>138</x15:v>
          </x15:c>
        </x15:pivotRow>
        <x15:pivotRow count="1">
          <x15:c>
            <x15:v>138</x15:v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>
            <x15:v>79</x15:v>
          </x15:c>
        </x15:pivotRow>
        <x15:pivotRow count="1">
          <x15:c>
            <x15:v>79</x15:v>
          </x15:c>
        </x15:pivotRow>
        <x15:pivotRow count="1">
          <x15:c>
            <x15:v>79</x15:v>
          </x15:c>
        </x15:pivotRow>
        <x15:pivotRow count="1">
          <x15:c>
            <x15:v>79</x15:v>
          </x15:c>
        </x15:pivotRow>
        <x15:pivotRow count="1">
          <x15:c>
            <x15:v>79</x15:v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>
            <x15:v>947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Totale]"/>
        <x15:activeTabTopLevelEntity name="[Eolico]"/>
      </x15:pivotTableUISettings>
    </ext>
  </extLst>
</pivotTableDefinition>
</file>

<file path=xl/pivotTables/pivotTable2.xml><?xml version="1.0" encoding="utf-8"?>
<pivotTableDefinition xmlns="http://schemas.openxmlformats.org/spreadsheetml/2006/main" name="PivotChartTable1" cacheId="100" applyNumberFormats="0" applyBorderFormats="0" applyFontFormats="0" applyPatternFormats="0" applyAlignmentFormats="0" applyWidthHeightFormats="1" dataCaption="Valori" updatedVersion="5" minRefreshableVersion="3" useAutoFormatting="1" itemPrintTitles="1" createdVersion="5" indent="0" showEmptyRow="1" showEmptyCol="1" outline="1" outlineData="1" multipleFieldFilters="0" chartFormat="1">
  <location ref="A1:B63" firstHeaderRow="1" firstDataRow="1" firstDataCol="1"/>
  <pivotFields count="2">
    <pivotField dataField="1" showAll="0"/>
    <pivotField axis="axisRow" allDrilled="1" showAll="0" dataSourceSort="1" defaultAttributeDrillState="1">
      <items count="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t="default"/>
      </items>
    </pivotField>
  </pivotFields>
  <rowFields count="1">
    <field x="1"/>
  </rowFields>
  <rowItems count="6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 t="grand">
      <x/>
    </i>
  </rowItems>
  <colItems count="1">
    <i/>
  </colItems>
  <dataFields count="1">
    <dataField name="Somma di Idrico" fld="0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2" columnCount="1" cacheId="6">
        <x15:pivotRow count="1">
          <x15:c>
            <x15:v>297</x15:v>
          </x15:c>
        </x15:pivotRow>
        <x15:pivotRow count="1">
          <x15:c>
            <x15:v>417</x15:v>
          </x15:c>
        </x15:pivotRow>
        <x15:pivotRow count="1">
          <x15:c>
            <x15:v>587</x15:v>
          </x15:c>
        </x15:pivotRow>
        <x15:pivotRow count="1">
          <x15:c>
            <x15:v>588</x15:v>
          </x15:c>
        </x15:pivotRow>
        <x15:pivotRow count="1">
          <x15:c>
            <x15:v>588</x15:v>
          </x15:c>
        </x15:pivotRow>
        <x15:pivotRow count="1">
          <x15:c>
            <x15:v>588</x15:v>
          </x15:c>
        </x15:pivotRow>
        <x15:pivotRow count="1">
          <x15:c>
            <x15:v>700</x15:v>
          </x15:c>
        </x15:pivotRow>
        <x15:pivotRow count="1">
          <x15:c>
            <x15:v>740</x15:v>
          </x15:c>
        </x15:pivotRow>
        <x15:pivotRow count="1">
          <x15:c>
            <x15:v>604</x15:v>
          </x15:c>
        </x15:pivotRow>
        <x15:pivotRow count="1">
          <x15:c>
            <x15:v>604</x15:v>
          </x15:c>
        </x15:pivotRow>
        <x15:pivotRow count="1">
          <x15:c>
            <x15:v>604</x15:v>
          </x15:c>
        </x15:pivotRow>
        <x15:pivotRow count="1">
          <x15:c>
            <x15:v>468</x15:v>
          </x15:c>
        </x15:pivotRow>
        <x15:pivotRow count="1">
          <x15:c>
            <x15:v>467</x15:v>
          </x15:c>
        </x15:pivotRow>
        <x15:pivotRow count="1">
          <x15:c>
            <x15:v>306</x15:v>
          </x15:c>
        </x15:pivotRow>
        <x15:pivotRow count="1">
          <x15:c>
            <x15:v>303</x15:v>
          </x15:c>
        </x15:pivotRow>
        <x15:pivotRow count="1">
          <x15:c>
            <x15:v>307</x15:v>
          </x15:c>
        </x15:pivotRow>
        <x15:pivotRow count="1">
          <x15:c>
            <x15:v>403</x15:v>
          </x15:c>
        </x15:pivotRow>
        <x15:pivotRow count="1">
          <x15:c>
            <x15:v>307</x15:v>
          </x15:c>
        </x15:pivotRow>
        <x15:pivotRow count="1">
          <x15:c>
            <x15:v>309</x15:v>
          </x15:c>
        </x15:pivotRow>
        <x15:pivotRow count="1">
          <x15:c>
            <x15:v>418</x15:v>
          </x15:c>
        </x15:pivotRow>
        <x15:pivotRow count="1">
          <x15:c>
            <x15:v>308</x15:v>
          </x15:c>
        </x15:pivotRow>
        <x15:pivotRow count="1">
          <x15:c>
            <x15:v>308</x15:v>
          </x15:c>
        </x15:pivotRow>
        <x15:pivotRow count="1">
          <x15:c>
            <x15:v>450</x15:v>
          </x15:c>
        </x15:pivotRow>
        <x15:pivotRow count="1">
          <x15:c>
            <x15:v>558</x15:v>
          </x15:c>
        </x15:pivotRow>
        <x15:pivotRow count="1">
          <x15:c>
            <x15:v>336</x15:v>
          </x15:c>
        </x15:pivotRow>
        <x15:pivotRow count="1">
          <x15:c>
            <x15:v>326</x15:v>
          </x15:c>
        </x15:pivotRow>
        <x15:pivotRow count="1">
          <x15:c>
            <x15:v>293</x15:v>
          </x15:c>
        </x15:pivotRow>
        <x15:pivotRow count="1">
          <x15:c>
            <x15:v>252</x15:v>
          </x15:c>
        </x15:pivotRow>
        <x15:pivotRow count="1">
          <x15:c>
            <x15:v>252</x15:v>
          </x15:c>
        </x15:pivotRow>
        <x15:pivotRow count="1">
          <x15:c>
            <x15:v>241</x15:v>
          </x15:c>
        </x15:pivotRow>
        <x15:pivotRow count="1">
          <x15:c>
            <x15:v>238</x15:v>
          </x15:c>
        </x15:pivotRow>
        <x15:pivotRow count="1">
          <x15:c>
            <x15:v>238</x15:v>
          </x15:c>
        </x15:pivotRow>
        <x15:pivotRow count="1">
          <x15:c>
            <x15:v>348</x15:v>
          </x15:c>
        </x15:pivotRow>
        <x15:pivotRow count="1">
          <x15:c>
            <x15:v>239</x15:v>
          </x15:c>
        </x15:pivotRow>
        <x15:pivotRow count="1">
          <x15:c>
            <x15:v>259</x15:v>
          </x15:c>
        </x15:pivotRow>
        <x15:pivotRow count="1">
          <x15:c>
            <x15:v>259</x15:v>
          </x15:c>
        </x15:pivotRow>
        <x15:pivotRow count="1">
          <x15:c>
            <x15:v>259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257</x15:v>
          </x15:c>
        </x15:pivotRow>
        <x15:pivotRow count="1">
          <x15:c>
            <x15:v>257</x15:v>
          </x15:c>
        </x15:pivotRow>
        <x15:pivotRow count="1">
          <x15:c>
            <x15:v>310</x15:v>
          </x15:c>
        </x15:pivotRow>
        <x15:pivotRow count="1">
          <x15:c>
            <x15:v>200</x15:v>
          </x15:c>
        </x15:pivotRow>
        <x15:pivotRow count="1">
          <x15:c>
            <x15:v>200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147</x15:v>
          </x15:c>
        </x15:pivotRow>
        <x15:pivotRow count="1">
          <x15:c>
            <x15:v>165</x15:v>
          </x15:c>
        </x15:pivotRow>
        <x15:pivotRow count="1">
          <x15:c>
            <x15:v>165</x15:v>
          </x15:c>
        </x15:pivotRow>
        <x15:pivotRow count="1">
          <x15:c>
            <x15:v>167</x15:v>
          </x15:c>
        </x15:pivotRow>
        <x15:pivotRow count="1">
          <x15:c>
            <x15:v>18842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Totale]"/>
        <x15:activeTabTopLevelEntity name="[Idrico]"/>
      </x15:pivotTableUISettings>
    </ext>
  </extLst>
</pivotTableDefinition>
</file>

<file path=xl/pivotTables/pivotTable3.xml><?xml version="1.0" encoding="utf-8"?>
<pivotTableDefinition xmlns="http://schemas.openxmlformats.org/spreadsheetml/2006/main" name="PivotChartTable2" cacheId="103" applyNumberFormats="0" applyBorderFormats="0" applyFontFormats="0" applyPatternFormats="0" applyAlignmentFormats="0" applyWidthHeightFormats="1" dataCaption="Valori" updatedVersion="5" minRefreshableVersion="3" useAutoFormatting="1" subtotalHiddenItems="1" itemPrintTitles="1" createdVersion="5" indent="0" outline="1" outlineData="1" multipleFieldFilters="0" chartFormat="1">
  <location ref="A1:F63" firstHeaderRow="0" firstDataRow="1" firstDataCol="1"/>
  <pivotFields count="6">
    <pivotField dataField="1" showAll="0"/>
    <pivotField axis="axisRow" allDrilled="1" showAll="0" dataSourceSort="1" defaultAttributeDrillState="1">
      <items count="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t="default"/>
      </items>
    </pivotField>
    <pivotField dataField="1" showAll="0"/>
    <pivotField dataField="1" showAll="0"/>
    <pivotField dataField="1" showAll="0"/>
    <pivotField dataField="1" showAll="0"/>
  </pivotFields>
  <rowFields count="1">
    <field x="1"/>
  </rowFields>
  <rowItems count="6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Totale" fld="0" baseField="1" baseItem="0"/>
    <dataField name="Termico" fld="2" baseField="1" baseItem="0"/>
    <dataField name="Pompaggi" fld="3" baseField="1" baseItem="0"/>
    <dataField name="Idrico" fld="4" baseField="1" baseItem="0"/>
    <dataField name="Eolico" fld="5" baseField="1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Hierarchies count="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1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2" columnCount="5" cacheId="2">
        <x15:pivotRow count="5">
          <x15:c>
            <x15:v>8497</x15:v>
          </x15:c>
          <x15:c>
            <x15:v>6814</x15:v>
          </x15:c>
          <x15:c>
            <x15:v>1386</x15:v>
          </x15:c>
          <x15:c>
            <x15:v>297</x15:v>
          </x15:c>
          <x15:c t="e">
            <x15:v/>
          </x15:c>
        </x15:pivotRow>
        <x15:pivotRow count="5">
          <x15:c>
            <x15:v>10055</x15:v>
          </x15:c>
          <x15:c>
            <x15:v>8381</x15:v>
          </x15:c>
          <x15:c>
            <x15:v>1257</x15:v>
          </x15:c>
          <x15:c>
            <x15:v>417</x15:v>
          </x15:c>
          <x15:c t="e">
            <x15:v/>
          </x15:c>
        </x15:pivotRow>
        <x15:pivotRow count="5">
          <x15:c>
            <x15:v>10067</x15:v>
          </x15:c>
          <x15:c>
            <x15:v>8322</x15:v>
          </x15:c>
          <x15:c>
            <x15:v>1158</x15:v>
          </x15:c>
          <x15:c>
            <x15:v>587</x15:v>
          </x15:c>
          <x15:c t="e">
            <x15:v/>
          </x15:c>
        </x15:pivotRow>
        <x15:pivotRow count="5">
          <x15:c>
            <x15:v>10894</x15:v>
          </x15:c>
          <x15:c>
            <x15:v>8873</x15:v>
          </x15:c>
          <x15:c>
            <x15:v>1433</x15:v>
          </x15:c>
          <x15:c>
            <x15:v>588</x15:v>
          </x15:c>
          <x15:c t="e">
            <x15:v/>
          </x15:c>
        </x15:pivotRow>
        <x15:pivotRow count="5">
          <x15:c>
            <x15:v>11406</x15:v>
          </x15:c>
          <x15:c>
            <x15:v>9779</x15:v>
          </x15:c>
          <x15:c>
            <x15:v>1040</x15:v>
          </x15:c>
          <x15:c>
            <x15:v>588</x15:v>
          </x15:c>
          <x15:c t="e">
            <x15:v/>
          </x15:c>
        </x15:pivotRow>
        <x15:pivotRow count="5">
          <x15:c>
            <x15:v>11734</x15:v>
          </x15:c>
          <x15:c>
            <x15:v>9964</x15:v>
          </x15:c>
          <x15:c>
            <x15:v>1183</x15:v>
          </x15:c>
          <x15:c>
            <x15:v>588</x15:v>
          </x15:c>
          <x15:c t="e">
            <x15:v/>
          </x15:c>
        </x15:pivotRow>
        <x15:pivotRow count="5">
          <x15:c>
            <x15:v>13790</x15:v>
          </x15:c>
          <x15:c>
            <x15:v>12220</x15:v>
          </x15:c>
          <x15:c>
            <x15:v>870</x15:v>
          </x15:c>
          <x15:c>
            <x15:v>700</x15:v>
          </x15:c>
          <x15:c t="e">
            <x15:v/>
          </x15:c>
        </x15:pivotRow>
        <x15:pivotRow count="5">
          <x15:c>
            <x15:v>12964</x15:v>
          </x15:c>
          <x15:c>
            <x15:v>11354</x15:v>
          </x15:c>
          <x15:c>
            <x15:v>870</x15:v>
          </x15:c>
          <x15:c>
            <x15:v>740</x15:v>
          </x15:c>
          <x15:c t="e">
            <x15:v/>
          </x15:c>
        </x15:pivotRow>
        <x15:pivotRow count="5">
          <x15:c>
            <x15:v>15562</x15:v>
          </x15:c>
          <x15:c>
            <x15:v>12681</x15:v>
          </x15:c>
          <x15:c>
            <x15:v>2276</x15:v>
          </x15:c>
          <x15:c>
            <x15:v>604</x15:v>
          </x15:c>
          <x15:c t="e">
            <x15:v/>
          </x15:c>
        </x15:pivotRow>
        <x15:pivotRow count="5">
          <x15:c>
            <x15:v>14256</x15:v>
          </x15:c>
          <x15:c>
            <x15:v>11354</x15:v>
          </x15:c>
          <x15:c>
            <x15:v>2298</x15:v>
          </x15:c>
          <x15:c>
            <x15:v>604</x15:v>
          </x15:c>
          <x15:c t="e">
            <x15:v/>
          </x15:c>
        </x15:pivotRow>
        <x15:pivotRow count="5">
          <x15:c>
            <x15:v>14159</x15:v>
          </x15:c>
          <x15:c>
            <x15:v>11090</x15:v>
          </x15:c>
          <x15:c>
            <x15:v>2464</x15:v>
          </x15:c>
          <x15:c>
            <x15:v>604</x15:v>
          </x15:c>
          <x15:c t="e">
            <x15:v/>
          </x15:c>
        </x15:pivotRow>
        <x15:pivotRow count="5">
          <x15:c>
            <x15:v>13318</x15:v>
          </x15:c>
          <x15:c>
            <x15:v>10231</x15:v>
          </x15:c>
          <x15:c>
            <x15:v>2619</x15:v>
          </x15:c>
          <x15:c>
            <x15:v>468</x15:v>
          </x15:c>
          <x15:c t="e">
            <x15:v/>
          </x15:c>
        </x15:pivotRow>
        <x15:pivotRow count="5">
          <x15:c>
            <x15:v>13711</x15:v>
          </x15:c>
          <x15:c>
            <x15:v>10765</x15:v>
          </x15:c>
          <x15:c>
            <x15:v>2480</x15:v>
          </x15:c>
          <x15:c>
            <x15:v>467</x15:v>
          </x15:c>
          <x15:c t="e">
            <x15:v/>
          </x15:c>
        </x15:pivotRow>
        <x15:pivotRow count="5">
          <x15:c>
            <x15:v>14027</x15:v>
          </x15:c>
          <x15:c>
            <x15:v>11968</x15:v>
          </x15:c>
          <x15:c>
            <x15:v>1753</x15:v>
          </x15:c>
          <x15:c>
            <x15:v>306</x15:v>
          </x15:c>
          <x15:c t="e">
            <x15:v/>
          </x15:c>
        </x15:pivotRow>
        <x15:pivotRow count="5">
          <x15:c>
            <x15:v>13136</x15:v>
          </x15:c>
          <x15:c>
            <x15:v>11113</x15:v>
          </x15:c>
          <x15:c>
            <x15:v>1720</x15:v>
          </x15:c>
          <x15:c>
            <x15:v>303</x15:v>
          </x15:c>
          <x15:c t="e">
            <x15:v/>
          </x15:c>
        </x15:pivotRow>
        <x15:pivotRow count="5">
          <x15:c>
            <x15:v>12903</x15:v>
          </x15:c>
          <x15:c>
            <x15:v>10504</x15:v>
          </x15:c>
          <x15:c>
            <x15:v>2092</x15:v>
          </x15:c>
          <x15:c>
            <x15:v>307</x15:v>
          </x15:c>
          <x15:c t="e">
            <x15:v/>
          </x15:c>
        </x15:pivotRow>
        <x15:pivotRow count="5">
          <x15:c>
            <x15:v>13339</x15:v>
          </x15:c>
          <x15:c>
            <x15:v>10131</x15:v>
          </x15:c>
          <x15:c>
            <x15:v>2668</x15:v>
          </x15:c>
          <x15:c>
            <x15:v>403</x15:v>
          </x15:c>
          <x15:c>
            <x15:v>138</x15:v>
          </x15:c>
        </x15:pivotRow>
        <x15:pivotRow count="5">
          <x15:c>
            <x15:v>13011</x15:v>
          </x15:c>
          <x15:c>
            <x15:v>10229</x15:v>
          </x15:c>
          <x15:c>
            <x15:v>2337</x15:v>
          </x15:c>
          <x15:c>
            <x15:v>307</x15:v>
          </x15:c>
          <x15:c>
            <x15:v>138</x15:v>
          </x15:c>
        </x15:pivotRow>
        <x15:pivotRow count="5">
          <x15:c>
            <x15:v>11526</x15:v>
          </x15:c>
          <x15:c>
            <x15:v>9221</x15:v>
          </x15:c>
          <x15:c>
            <x15:v>1858</x15:v>
          </x15:c>
          <x15:c>
            <x15:v>309</x15:v>
          </x15:c>
          <x15:c>
            <x15:v>138</x15:v>
          </x15:c>
        </x15:pivotRow>
        <x15:pivotRow count="5">
          <x15:c>
            <x15:v>11532</x15:v>
          </x15:c>
          <x15:c>
            <x15:v>9185</x15:v>
          </x15:c>
          <x15:c>
            <x15:v>1792</x15:v>
          </x15:c>
          <x15:c>
            <x15:v>418</x15:v>
          </x15:c>
          <x15:c>
            <x15:v>138</x15:v>
          </x15:c>
        </x15:pivotRow>
        <x15:pivotRow count="5">
          <x15:c>
            <x15:v>13012</x15:v>
          </x15:c>
          <x15:c>
            <x15:v>11049</x15:v>
          </x15:c>
          <x15:c>
            <x15:v>1655</x15:v>
          </x15:c>
          <x15:c>
            <x15:v>308</x15:v>
          </x15:c>
          <x15:c t="e">
            <x15:v/>
          </x15:c>
        </x15:pivotRow>
        <x15:pivotRow count="5">
          <x15:c>
            <x15:v>13176</x15:v>
          </x15:c>
          <x15:c>
            <x15:v>10792</x15:v>
          </x15:c>
          <x15:c>
            <x15:v>2077</x15:v>
          </x15:c>
          <x15:c>
            <x15:v>308</x15:v>
          </x15:c>
          <x15:c t="e">
            <x15:v/>
          </x15:c>
        </x15:pivotRow>
        <x15:pivotRow count="5">
          <x15:c>
            <x15:v>12405</x15:v>
          </x15:c>
          <x15:c>
            <x15:v>9879</x15:v>
          </x15:c>
          <x15:c>
            <x15:v>1998</x15:v>
          </x15:c>
          <x15:c>
            <x15:v>450</x15:v>
          </x15:c>
          <x15:c>
            <x15:v>79</x15:v>
          </x15:c>
        </x15:pivotRow>
        <x15:pivotRow count="5">
          <x15:c>
            <x15:v>13242</x15:v>
          </x15:c>
          <x15:c>
            <x15:v>11039</x15:v>
          </x15:c>
          <x15:c>
            <x15:v>1566</x15:v>
          </x15:c>
          <x15:c>
            <x15:v>558</x15:v>
          </x15:c>
          <x15:c>
            <x15:v>79</x15:v>
          </x15:c>
        </x15:pivotRow>
        <x15:pivotRow count="5">
          <x15:c>
            <x15:v>12175</x15:v>
          </x15:c>
          <x15:c>
            <x15:v>10065</x15:v>
          </x15:c>
          <x15:c>
            <x15:v>1695</x15:v>
          </x15:c>
          <x15:c>
            <x15:v>336</x15:v>
          </x15:c>
          <x15:c>
            <x15:v>79</x15:v>
          </x15:c>
        </x15:pivotRow>
        <x15:pivotRow count="5">
          <x15:c>
            <x15:v>11962</x15:v>
          </x15:c>
          <x15:c>
            <x15:v>10000</x15:v>
          </x15:c>
          <x15:c>
            <x15:v>1558</x15:v>
          </x15:c>
          <x15:c>
            <x15:v>326</x15:v>
          </x15:c>
          <x15:c>
            <x15:v>79</x15:v>
          </x15:c>
        </x15:pivotRow>
        <x15:pivotRow count="5">
          <x15:c>
            <x15:v>11739</x15:v>
          </x15:c>
          <x15:c>
            <x15:v>9465</x15:v>
          </x15:c>
          <x15:c>
            <x15:v>1903</x15:v>
          </x15:c>
          <x15:c>
            <x15:v>293</x15:v>
          </x15:c>
          <x15:c>
            <x15:v>79</x15:v>
          </x15:c>
        </x15:pivotRow>
        <x15:pivotRow count="5">
          <x15:c>
            <x15:v>10034</x15:v>
          </x15:c>
          <x15:c>
            <x15:v>8335</x15:v>
          </x15:c>
          <x15:c>
            <x15:v>1448</x15:v>
          </x15:c>
          <x15:c>
            <x15:v>252</x15:v>
          </x15:c>
          <x15:c t="e">
            <x15:v/>
          </x15:c>
        </x15:pivotRow>
        <x15:pivotRow count="5">
          <x15:c>
            <x15:v>10206</x15:v>
          </x15:c>
          <x15:c>
            <x15:v>8351</x15:v>
          </x15:c>
          <x15:c>
            <x15:v>1603</x15:v>
          </x15:c>
          <x15:c>
            <x15:v>252</x15:v>
          </x15:c>
          <x15:c t="e">
            <x15:v/>
          </x15:c>
        </x15:pivotRow>
        <x15:pivotRow count="5">
          <x15:c>
            <x15:v>9377</x15:v>
          </x15:c>
          <x15:c>
            <x15:v>7723</x15:v>
          </x15:c>
          <x15:c>
            <x15:v>1414</x15:v>
          </x15:c>
          <x15:c>
            <x15:v>241</x15:v>
          </x15:c>
          <x15:c t="e">
            <x15:v/>
          </x15:c>
        </x15:pivotRow>
        <x15:pivotRow count="5">
          <x15:c>
            <x15:v>9165</x15:v>
          </x15:c>
          <x15:c>
            <x15:v>7624</x15:v>
          </x15:c>
          <x15:c>
            <x15:v>1304</x15:v>
          </x15:c>
          <x15:c>
            <x15:v>238</x15:v>
          </x15:c>
          <x15:c t="e">
            <x15:v/>
          </x15:c>
        </x15:pivotRow>
        <x15:pivotRow count="5">
          <x15:c>
            <x15:v>9658</x15:v>
          </x15:c>
          <x15:c>
            <x15:v>7624</x15:v>
          </x15:c>
          <x15:c>
            <x15:v>1796</x15:v>
          </x15:c>
          <x15:c>
            <x15:v>238</x15:v>
          </x15:c>
          <x15:c t="e">
            <x15:v/>
          </x15:c>
        </x15:pivotRow>
        <x15:pivotRow count="5">
          <x15:c>
            <x15:v>10159</x15:v>
          </x15:c>
          <x15:c>
            <x15:v>8279</x15:v>
          </x15:c>
          <x15:c>
            <x15:v>1533</x15:v>
          </x15:c>
          <x15:c>
            <x15:v>348</x15:v>
          </x15:c>
          <x15:c t="e">
            <x15:v/>
          </x15:c>
        </x15:pivotRow>
        <x15:pivotRow count="5">
          <x15:c>
            <x15:v>12079</x15:v>
          </x15:c>
          <x15:c>
            <x15:v>10182</x15:v>
          </x15:c>
          <x15:c>
            <x15:v>1657</x15:v>
          </x15:c>
          <x15:c>
            <x15:v>239</x15:v>
          </x15:c>
          <x15:c t="e">
            <x15:v/>
          </x15:c>
        </x15:pivotRow>
        <x15:pivotRow count="5">
          <x15:c>
            <x15:v>13058</x15:v>
          </x15:c>
          <x15:c>
            <x15:v>11519</x15:v>
          </x15:c>
          <x15:c>
            <x15:v>1280</x15:v>
          </x15:c>
          <x15:c>
            <x15:v>259</x15:v>
          </x15:c>
          <x15:c t="e">
            <x15:v/>
          </x15:c>
        </x15:pivotRow>
        <x15:pivotRow count="5">
          <x15:c>
            <x15:v>12277</x15:v>
          </x15:c>
          <x15:c>
            <x15:v>10530</x15:v>
          </x15:c>
          <x15:c>
            <x15:v>1488</x15:v>
          </x15:c>
          <x15:c>
            <x15:v>259</x15:v>
          </x15:c>
          <x15:c t="e">
            <x15:v/>
          </x15:c>
        </x15:pivotRow>
        <x15:pivotRow count="5">
          <x15:c>
            <x15:v>14294</x15:v>
          </x15:c>
          <x15:c>
            <x15:v>12262</x15:v>
          </x15:c>
          <x15:c>
            <x15:v>1773</x15:v>
          </x15:c>
          <x15:c>
            <x15:v>259</x15:v>
          </x15:c>
          <x15:c t="e">
            <x15:v/>
          </x15:c>
        </x15:pivotRow>
        <x15:pivotRow count="5">
          <x15:c>
            <x15:v>14339</x15:v>
          </x15:c>
          <x15:c>
            <x15:v>12479</x15:v>
          </x15:c>
          <x15:c>
            <x15:v>1713</x15:v>
          </x15:c>
          <x15:c>
            <x15:v>147</x15:v>
          </x15:c>
          <x15:c t="e">
            <x15:v/>
          </x15:c>
        </x15:pivotRow>
        <x15:pivotRow count="5">
          <x15:c>
            <x15:v>14976</x15:v>
          </x15:c>
          <x15:c>
            <x15:v>12797</x15:v>
          </x15:c>
          <x15:c>
            <x15:v>2032</x15:v>
          </x15:c>
          <x15:c>
            <x15:v>147</x15:v>
          </x15:c>
          <x15:c t="e">
            <x15:v/>
          </x15:c>
        </x15:pivotRow>
        <x15:pivotRow count="5">
          <x15:c>
            <x15:v>13564</x15:v>
          </x15:c>
          <x15:c>
            <x15:v>11397</x15:v>
          </x15:c>
          <x15:c>
            <x15:v>2020</x15:v>
          </x15:c>
          <x15:c>
            <x15:v>147</x15:v>
          </x15:c>
          <x15:c t="e">
            <x15:v/>
          </x15:c>
        </x15:pivotRow>
        <x15:pivotRow count="5">
          <x15:c>
            <x15:v>14181</x15:v>
          </x15:c>
          <x15:c>
            <x15:v>12096</x15:v>
          </x15:c>
          <x15:c>
            <x15:v>1938</x15:v>
          </x15:c>
          <x15:c>
            <x15:v>147</x15:v>
          </x15:c>
          <x15:c t="e">
            <x15:v/>
          </x15:c>
        </x15:pivotRow>
        <x15:pivotRow count="5">
          <x15:c>
            <x15:v>13546</x15:v>
          </x15:c>
          <x15:c>
            <x15:v>11705</x15:v>
          </x15:c>
          <x15:c>
            <x15:v>1694</x15:v>
          </x15:c>
          <x15:c>
            <x15:v>147</x15:v>
          </x15:c>
          <x15:c t="e">
            <x15:v/>
          </x15:c>
        </x15:pivotRow>
        <x15:pivotRow count="5">
          <x15:c>
            <x15:v>13431</x15:v>
          </x15:c>
          <x15:c>
            <x15:v>11590</x15:v>
          </x15:c>
          <x15:c>
            <x15:v>1694</x15:v>
          </x15:c>
          <x15:c>
            <x15:v>147</x15:v>
          </x15:c>
          <x15:c t="e">
            <x15:v/>
          </x15:c>
        </x15:pivotRow>
        <x15:pivotRow count="5">
          <x15:c>
            <x15:v>12803</x15:v>
          </x15:c>
          <x15:c>
            <x15:v>10575</x15:v>
          </x15:c>
          <x15:c>
            <x15:v>1971</x15:v>
          </x15:c>
          <x15:c>
            <x15:v>257</x15:v>
          </x15:c>
          <x15:c t="e">
            <x15:v/>
          </x15:c>
        </x15:pivotRow>
        <x15:pivotRow count="5">
          <x15:c>
            <x15:v>12637</x15:v>
          </x15:c>
          <x15:c>
            <x15:v>10308</x15:v>
          </x15:c>
          <x15:c>
            <x15:v>2072</x15:v>
          </x15:c>
          <x15:c>
            <x15:v>257</x15:v>
          </x15:c>
          <x15:c t="e">
            <x15:v/>
          </x15:c>
        </x15:pivotRow>
        <x15:pivotRow count="5">
          <x15:c>
            <x15:v>12711</x15:v>
          </x15:c>
          <x15:c>
            <x15:v>10308</x15:v>
          </x15:c>
          <x15:c>
            <x15:v>2093</x15:v>
          </x15:c>
          <x15:c>
            <x15:v>310</x15:v>
          </x15:c>
          <x15:c t="e">
            <x15:v/>
          </x15:c>
        </x15:pivotRow>
        <x15:pivotRow count="5">
          <x15:c>
            <x15:v>12488</x15:v>
          </x15:c>
          <x15:c>
            <x15:v>10308</x15:v>
          </x15:c>
          <x15:c>
            <x15:v>1980</x15:v>
          </x15:c>
          <x15:c>
            <x15:v>200</x15:v>
          </x15:c>
          <x15:c t="e">
            <x15:v/>
          </x15:c>
        </x15:pivotRow>
        <x15:pivotRow count="5">
          <x15:c>
            <x15:v>12145</x15:v>
          </x15:c>
          <x15:c>
            <x15:v>10308</x15:v>
          </x15:c>
          <x15:c>
            <x15:v>1637</x15:v>
          </x15:c>
          <x15:c>
            <x15:v>200</x15:v>
          </x15:c>
          <x15:c t="e">
            <x15:v/>
          </x15:c>
        </x15:pivotRow>
        <x15:pivotRow count="5">
          <x15:c>
            <x15:v>12195</x15:v>
          </x15:c>
          <x15:c>
            <x15:v>11308</x15:v>
          </x15:c>
          <x15:c>
            <x15:v>740</x15:v>
          </x15:c>
          <x15:c>
            <x15:v>147</x15:v>
          </x15:c>
          <x15:c t="e">
            <x15:v/>
          </x15:c>
        </x15:pivotRow>
        <x15:pivotRow count="5">
          <x15:c>
            <x15:v>11939</x15:v>
          </x15:c>
          <x15:c>
            <x15:v>11052</x15:v>
          </x15:c>
          <x15:c>
            <x15:v>740</x15:v>
          </x15:c>
          <x15:c>
            <x15:v>147</x15:v>
          </x15:c>
          <x15:c t="e">
            <x15:v/>
          </x15:c>
        </x15:pivotRow>
        <x15:pivotRow count="5">
          <x15:c>
            <x15:v>13471</x15:v>
          </x15:c>
          <x15:c>
            <x15:v>12462</x15:v>
          </x15:c>
          <x15:c>
            <x15:v>862</x15:v>
          </x15:c>
          <x15:c>
            <x15:v>147</x15:v>
          </x15:c>
          <x15:c t="e">
            <x15:v/>
          </x15:c>
        </x15:pivotRow>
        <x15:pivotRow count="5">
          <x15:c>
            <x15:v>13067</x15:v>
          </x15:c>
          <x15:c>
            <x15:v>12058</x15:v>
          </x15:c>
          <x15:c>
            <x15:v>862</x15:v>
          </x15:c>
          <x15:c>
            <x15:v>147</x15:v>
          </x15:c>
          <x15:c t="e">
            <x15:v/>
          </x15:c>
        </x15:pivotRow>
        <x15:pivotRow count="5">
          <x15:c>
            <x15:v>12259</x15:v>
          </x15:c>
          <x15:c>
            <x15:v>11250</x15:v>
          </x15:c>
          <x15:c>
            <x15:v>862</x15:v>
          </x15:c>
          <x15:c>
            <x15:v>147</x15:v>
          </x15:c>
          <x15:c t="e">
            <x15:v/>
          </x15:c>
        </x15:pivotRow>
        <x15:pivotRow count="5">
          <x15:c>
            <x15:v>12259</x15:v>
          </x15:c>
          <x15:c>
            <x15:v>11250</x15:v>
          </x15:c>
          <x15:c>
            <x15:v>862</x15:v>
          </x15:c>
          <x15:c>
            <x15:v>147</x15:v>
          </x15:c>
          <x15:c t="e">
            <x15:v/>
          </x15:c>
        </x15:pivotRow>
        <x15:pivotRow count="5">
          <x15:c>
            <x15:v>12259</x15:v>
          </x15:c>
          <x15:c>
            <x15:v>11250</x15:v>
          </x15:c>
          <x15:c>
            <x15:v>862</x15:v>
          </x15:c>
          <x15:c>
            <x15:v>147</x15:v>
          </x15:c>
          <x15:c t="e">
            <x15:v/>
          </x15:c>
        </x15:pivotRow>
        <x15:pivotRow count="5">
          <x15:c>
            <x15:v>12654</x15:v>
          </x15:c>
          <x15:c>
            <x15:v>11888</x15:v>
          </x15:c>
          <x15:c>
            <x15:v>619</x15:v>
          </x15:c>
          <x15:c>
            <x15:v>147</x15:v>
          </x15:c>
          <x15:c t="e">
            <x15:v/>
          </x15:c>
        </x15:pivotRow>
        <x15:pivotRow count="5">
          <x15:c>
            <x15:v>12816</x15:v>
          </x15:c>
          <x15:c>
            <x15:v>12050</x15:v>
          </x15:c>
          <x15:c>
            <x15:v>619</x15:v>
          </x15:c>
          <x15:c>
            <x15:v>147</x15:v>
          </x15:c>
          <x15:c t="e">
            <x15:v/>
          </x15:c>
        </x15:pivotRow>
        <x15:pivotRow count="5">
          <x15:c>
            <x15:v>12016</x15:v>
          </x15:c>
          <x15:c>
            <x15:v>11250</x15:v>
          </x15:c>
          <x15:c>
            <x15:v>619</x15:v>
          </x15:c>
          <x15:c>
            <x15:v>147</x15:v>
          </x15:c>
          <x15:c t="e">
            <x15:v/>
          </x15:c>
        </x15:pivotRow>
        <x15:pivotRow count="5">
          <x15:c>
            <x15:v>12034</x15:v>
          </x15:c>
          <x15:c>
            <x15:v>11250</x15:v>
          </x15:c>
          <x15:c>
            <x15:v>619</x15:v>
          </x15:c>
          <x15:c>
            <x15:v>165</x15:v>
          </x15:c>
          <x15:c t="e">
            <x15:v/>
          </x15:c>
        </x15:pivotRow>
        <x15:pivotRow count="5">
          <x15:c>
            <x15:v>11917</x15:v>
          </x15:c>
          <x15:c>
            <x15:v>11250</x15:v>
          </x15:c>
          <x15:c>
            <x15:v>502</x15:v>
          </x15:c>
          <x15:c>
            <x15:v>165</x15:v>
          </x15:c>
          <x15:c t="e">
            <x15:v/>
          </x15:c>
        </x15:pivotRow>
        <x15:pivotRow count="5">
          <x15:c>
            <x15:v>11919</x15:v>
          </x15:c>
          <x15:c>
            <x15:v>11250</x15:v>
          </x15:c>
          <x15:c>
            <x15:v>502</x15:v>
          </x15:c>
          <x15:c>
            <x15:v>167</x15:v>
          </x15:c>
          <x15:c t="e">
            <x15:v/>
          </x15:c>
        </x15:pivotRow>
        <x15:pivotRow count="5">
          <x15:c>
            <x15:v>755531</x15:v>
          </x15:c>
          <x15:c>
            <x15:v>642336</x15:v>
          </x15:c>
          <x15:c>
            <x15:v>93416</x15:v>
          </x15:c>
          <x15:c>
            <x15:v>18842</x15:v>
          </x15:c>
          <x15:c>
            <x15:v>947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Totale]"/>
        <x15:activeTabTopLevelEntity name="[Termico]"/>
        <x15:activeTabTopLevelEntity name="[Pompaggi]"/>
        <x15:activeTabTopLevelEntity name="[Idrico]"/>
        <x15:activeTabTopLevelEntity name="[Eolico]"/>
      </x15:pivotTableUISettings>
    </ext>
  </extLst>
</pivotTableDefinition>
</file>

<file path=xl/pivotTables/pivotTable4.xml><?xml version="1.0" encoding="utf-8"?>
<pivotTableDefinition xmlns="http://schemas.openxmlformats.org/spreadsheetml/2006/main" name="PivotChartTable3" cacheId="61" applyNumberFormats="0" applyBorderFormats="0" applyFontFormats="0" applyPatternFormats="0" applyAlignmentFormats="0" applyWidthHeightFormats="1" dataCaption="Valori" updatedVersion="5" minRefreshableVersion="3" useAutoFormatting="1" itemPrintTitles="1" createdVersion="5" indent="0" outline="1" outlineData="1" multipleFieldFilters="0" chartFormat="1">
  <location ref="A1:L64" firstHeaderRow="1" firstDataRow="2" firstDataCol="1"/>
  <pivotFields count="3">
    <pivotField axis="axisRow" allDrilled="1" showAll="0" dataSourceSort="1" defaultAttributeDrillState="1">
      <items count="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t="default"/>
      </items>
    </pivotField>
    <pivotField dataField="1" showAll="0"/>
    <pivotField axis="axisCol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0"/>
  </rowFields>
  <rowItems count="6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 t="grand">
      <x/>
    </i>
  </rowItems>
  <colFields count="1">
    <field x="2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omma di TotaleZona" fld="1" baseField="0" baseItem="0"/>
  </dataFields>
  <chartFormats count="1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</chartFormats>
  <pivotHierarchies count="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21"/>
  </rowHierarchiesUsage>
  <colHierarchiesUsage count="1">
    <colHierarchyUsage hierarchyUsage="2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2" columnCount="11" cacheId="3">
        <x15:pivotRow count="11">
          <x15:c>
            <x15:v>1457</x15:v>
          </x15:c>
          <x15:c>
            <x15:v>140</x15:v>
          </x15:c>
          <x15:c>
            <x15:v>1263</x15:v>
          </x15:c>
          <x15:c t="e">
            <x15:v/>
          </x15:c>
          <x15:c>
            <x15:v>4030</x15:v>
          </x15:c>
          <x15:c t="e">
            <x15:v/>
          </x15:c>
          <x15:c>
            <x15:v>592</x15:v>
          </x15:c>
          <x15:c>
            <x15:v>380</x15:v>
          </x15:c>
          <x15:c>
            <x15:v>585</x15:v>
          </x15:c>
          <x15:c>
            <x15:v>50</x15:v>
          </x15:c>
          <x15:c>
            <x15:v>8497</x15:v>
          </x15:c>
        </x15:pivotRow>
        <x15:pivotRow count="11">
          <x15:c>
            <x15:v>985</x15:v>
          </x15:c>
          <x15:c>
            <x15:v>531</x15:v>
          </x15:c>
          <x15:c>
            <x15:v>1669</x15:v>
          </x15:c>
          <x15:c>
            <x15:v>400</x15:v>
          </x15:c>
          <x15:c>
            <x15:v>4656</x15:v>
          </x15:c>
          <x15:c t="e">
            <x15:v/>
          </x15:c>
          <x15:c>
            <x15:v>592</x15:v>
          </x15:c>
          <x15:c>
            <x15:v>647</x15:v>
          </x15:c>
          <x15:c>
            <x15:v>525</x15:v>
          </x15:c>
          <x15:c>
            <x15:v>50</x15:v>
          </x15:c>
          <x15:c>
            <x15:v>10055</x15:v>
          </x15:c>
        </x15:pivotRow>
        <x15:pivotRow count="11">
          <x15:c>
            <x15:v>605</x15:v>
          </x15:c>
          <x15:c>
            <x15:v>531</x15:v>
          </x15:c>
          <x15:c>
            <x15:v>1494</x15:v>
          </x15:c>
          <x15:c t="e">
            <x15:v/>
          </x15:c>
          <x15:c>
            <x15:v>5239</x15:v>
          </x15:c>
          <x15:c t="e">
            <x15:v/>
          </x15:c>
          <x15:c>
            <x15:v>976</x15:v>
          </x15:c>
          <x15:c>
            <x15:v>647</x15:v>
          </x15:c>
          <x15:c>
            <x15:v>525</x15:v>
          </x15:c>
          <x15:c>
            <x15:v>50</x15:v>
          </x15:c>
          <x15:c>
            <x15:v>10067</x15:v>
          </x15:c>
        </x15:pivotRow>
        <x15:pivotRow count="11">
          <x15:c>
            <x15:v>605</x15:v>
          </x15:c>
          <x15:c>
            <x15:v>531</x15:v>
          </x15:c>
          <x15:c>
            <x15:v>1442</x15:v>
          </x15:c>
          <x15:c t="e">
            <x15:v/>
          </x15:c>
          <x15:c>
            <x15:v>6118</x15:v>
          </x15:c>
          <x15:c t="e">
            <x15:v/>
          </x15:c>
          <x15:c>
            <x15:v>976</x15:v>
          </x15:c>
          <x15:c>
            <x15:v>647</x15:v>
          </x15:c>
          <x15:c>
            <x15:v>525</x15:v>
          </x15:c>
          <x15:c>
            <x15:v>50</x15:v>
          </x15:c>
          <x15:c>
            <x15:v>10894</x15:v>
          </x15:c>
        </x15:pivotRow>
        <x15:pivotRow count="11">
          <x15:c>
            <x15:v>605</x15:v>
          </x15:c>
          <x15:c>
            <x15:v>812</x15:v>
          </x15:c>
          <x15:c>
            <x15:v>1285</x15:v>
          </x15:c>
          <x15:c t="e">
            <x15:v/>
          </x15:c>
          <x15:c>
            <x15:v>6240</x15:v>
          </x15:c>
          <x15:c t="e">
            <x15:v/>
          </x15:c>
          <x15:c>
            <x15:v>976</x15:v>
          </x15:c>
          <x15:c>
            <x15:v>914</x15:v>
          </x15:c>
          <x15:c>
            <x15:v>525</x15:v>
          </x15:c>
          <x15:c>
            <x15:v>50</x15:v>
          </x15:c>
          <x15:c>
            <x15:v>11407</x15:v>
          </x15:c>
        </x15:pivotRow>
        <x15:pivotRow count="11">
          <x15:c>
            <x15:v>605</x15:v>
          </x15:c>
          <x15:c>
            <x15:v>812</x15:v>
          </x15:c>
          <x15:c>
            <x15:v>1316</x15:v>
          </x15:c>
          <x15:c t="e">
            <x15:v/>
          </x15:c>
          <x15:c>
            <x15:v>6148</x15:v>
          </x15:c>
          <x15:c t="e">
            <x15:v/>
          </x15:c>
          <x15:c>
            <x15:v>976</x15:v>
          </x15:c>
          <x15:c>
            <x15:v>1014</x15:v>
          </x15:c>
          <x15:c>
            <x15:v>813</x15:v>
          </x15:c>
          <x15:c>
            <x15:v>50</x15:v>
          </x15:c>
          <x15:c>
            <x15:v>11734</x15:v>
          </x15:c>
        </x15:pivotRow>
        <x15:pivotRow count="11">
          <x15:c>
            <x15:v>2006</x15:v>
          </x15:c>
          <x15:c>
            <x15:v>812</x15:v>
          </x15:c>
          <x15:c>
            <x15:v>976</x15:v>
          </x15:c>
          <x15:c t="e">
            <x15:v/>
          </x15:c>
          <x15:c>
            <x15:v>6688</x15:v>
          </x15:c>
          <x15:c t="e">
            <x15:v/>
          </x15:c>
          <x15:c>
            <x15:v>1651</x15:v>
          </x15:c>
          <x15:c>
            <x15:v>914</x15:v>
          </x15:c>
          <x15:c>
            <x15:v>693</x15:v>
          </x15:c>
          <x15:c>
            <x15:v>50</x15:v>
          </x15:c>
          <x15:c>
            <x15:v>13790</x15:v>
          </x15:c>
        </x15:pivotRow>
        <x15:pivotRow count="11">
          <x15:c>
            <x15:v>985</x15:v>
          </x15:c>
          <x15:c>
            <x15:v>812</x15:v>
          </x15:c>
          <x15:c>
            <x15:v>976</x15:v>
          </x15:c>
          <x15:c>
            <x15:v>420</x15:v>
          </x15:c>
          <x15:c>
            <x15:v>6728</x15:v>
          </x15:c>
          <x15:c t="e">
            <x15:v/>
          </x15:c>
          <x15:c>
            <x15:v>1386</x15:v>
          </x15:c>
          <x15:c>
            <x15:v>914</x15:v>
          </x15:c>
          <x15:c>
            <x15:v>693</x15:v>
          </x15:c>
          <x15:c>
            <x15:v>50</x15:v>
          </x15:c>
          <x15:c>
            <x15:v>12964</x15:v>
          </x15:c>
        </x15:pivotRow>
        <x15:pivotRow count="11">
          <x15:c>
            <x15:v>985</x15:v>
          </x15:c>
          <x15:c>
            <x15:v>562</x15:v>
          </x15:c>
          <x15:c>
            <x15:v>2486</x15:v>
          </x15:c>
          <x15:c>
            <x15:v>420</x15:v>
          </x15:c>
          <x15:c>
            <x15:v>8063</x15:v>
          </x15:c>
          <x15:c>
            <x15:v>125</x15:v>
          </x15:c>
          <x15:c>
            <x15:v>976</x15:v>
          </x15:c>
          <x15:c>
            <x15:v>914</x15:v>
          </x15:c>
          <x15:c>
            <x15:v>981</x15:v>
          </x15:c>
          <x15:c>
            <x15:v>50</x15:v>
          </x15:c>
          <x15:c>
            <x15:v>15562</x15:v>
          </x15:c>
        </x15:pivotRow>
        <x15:pivotRow count="11">
          <x15:c>
            <x15:v>605</x15:v>
          </x15:c>
          <x15:c>
            <x15:v>140</x15:v>
          </x15:c>
          <x15:c>
            <x15:v>2380</x15:v>
          </x15:c>
          <x15:c>
            <x15:v>420</x15:v>
          </x15:c>
          <x15:c>
            <x15:v>7564</x15:v>
          </x15:c>
          <x15:c>
            <x15:v>227</x15:v>
          </x15:c>
          <x15:c>
            <x15:v>976</x15:v>
          </x15:c>
          <x15:c>
            <x15:v>914</x15:v>
          </x15:c>
          <x15:c>
            <x15:v>981</x15:v>
          </x15:c>
          <x15:c>
            <x15:v>50</x15:v>
          </x15:c>
          <x15:c>
            <x15:v>14257</x15:v>
          </x15:c>
        </x15:pivotRow>
        <x15:pivotRow count="11">
          <x15:c>
            <x15:v>605</x15:v>
          </x15:c>
          <x15:c>
            <x15:v>140</x15:v>
          </x15:c>
          <x15:c>
            <x15:v>2476</x15:v>
          </x15:c>
          <x15:c>
            <x15:v>420</x15:v>
          </x15:c>
          <x15:c>
            <x15:v>7635</x15:v>
          </x15:c>
          <x15:c>
            <x15:v>250</x15:v>
          </x15:c>
          <x15:c>
            <x15:v>976</x15:v>
          </x15:c>
          <x15:c>
            <x15:v>914</x15:v>
          </x15:c>
          <x15:c>
            <x15:v>693</x15:v>
          </x15:c>
          <x15:c>
            <x15:v>50</x15:v>
          </x15:c>
          <x15:c>
            <x15:v>14159</x15:v>
          </x15:c>
        </x15:pivotRow>
        <x15:pivotRow count="11">
          <x15:c>
            <x15:v>605</x15:v>
          </x15:c>
          <x15:c>
            <x15:v>241</x15:v>
          </x15:c>
          <x15:c>
            <x15:v>2351</x15:v>
          </x15:c>
          <x15:c>
            <x15:v>420</x15:v>
          </x15:c>
          <x15:c>
            <x15:v>6841</x15:v>
          </x15:c>
          <x15:c>
            <x15:v>227</x15:v>
          </x15:c>
          <x15:c>
            <x15:v>976</x15:v>
          </x15:c>
          <x15:c>
            <x15:v>914</x15:v>
          </x15:c>
          <x15:c>
            <x15:v>693</x15:v>
          </x15:c>
          <x15:c>
            <x15:v>50</x15:v>
          </x15:c>
          <x15:c>
            <x15:v>13318</x15:v>
          </x15:c>
        </x15:pivotRow>
        <x15:pivotRow count="11">
          <x15:c>
            <x15:v>887</x15:v>
          </x15:c>
          <x15:c>
            <x15:v>140</x15:v>
          </x15:c>
          <x15:c>
            <x15:v>2458</x15:v>
          </x15:c>
          <x15:c>
            <x15:v>420</x15:v>
          </x15:c>
          <x15:c>
            <x15:v>7048</x15:v>
          </x15:c>
          <x15:c>
            <x15:v>125</x15:v>
          </x15:c>
          <x15:c>
            <x15:v>976</x15:v>
          </x15:c>
          <x15:c>
            <x15:v>914</x15:v>
          </x15:c>
          <x15:c>
            <x15:v>693</x15:v>
          </x15:c>
          <x15:c>
            <x15:v>50</x15:v>
          </x15:c>
          <x15:c>
            <x15:v>13711</x15:v>
          </x15:c>
        </x15:pivotRow>
        <x15:pivotRow count="11">
          <x15:c>
            <x15:v>1077</x15:v>
          </x15:c>
          <x15:c>
            <x15:v>140</x15:v>
          </x15:c>
          <x15:c>
            <x15:v>2209</x15:v>
          </x15:c>
          <x15:c>
            <x15:v>420</x15:v>
          </x15:c>
          <x15:c>
            <x15:v>7423</x15:v>
          </x15:c>
          <x15:c>
            <x15:v>125</x15:v>
          </x15:c>
          <x15:c>
            <x15:v>976</x15:v>
          </x15:c>
          <x15:c>
            <x15:v>914</x15:v>
          </x15:c>
          <x15:c>
            <x15:v>693</x15:v>
          </x15:c>
          <x15:c>
            <x15:v>50</x15:v>
          </x15:c>
          <x15:c>
            <x15:v>14027</x15:v>
          </x15:c>
        </x15:pivotRow>
        <x15:pivotRow count="11">
          <x15:c>
            <x15:v>605</x15:v>
          </x15:c>
          <x15:c>
            <x15:v>140</x15:v>
          </x15:c>
          <x15:c>
            <x15:v>1713</x15:v>
          </x15:c>
          <x15:c>
            <x15:v>420</x15:v>
          </x15:c>
          <x15:c>
            <x15:v>7494</x15:v>
          </x15:c>
          <x15:c>
            <x15:v>125</x15:v>
          </x15:c>
          <x15:c>
            <x15:v>976</x15:v>
          </x15:c>
          <x15:c>
            <x15:v>914</x15:v>
          </x15:c>
          <x15:c>
            <x15:v>693</x15:v>
          </x15:c>
          <x15:c>
            <x15:v>56</x15:v>
          </x15:c>
          <x15:c>
            <x15:v>13136</x15:v>
          </x15:c>
        </x15:pivotRow>
        <x15:pivotRow count="11">
          <x15:c>
            <x15:v>605</x15:v>
          </x15:c>
          <x15:c>
            <x15:v>140</x15:v>
          </x15:c>
          <x15:c>
            <x15:v>1713</x15:v>
          </x15:c>
          <x15:c>
            <x15:v>420</x15:v>
          </x15:c>
          <x15:c>
            <x15:v>7404</x15:v>
          </x15:c>
          <x15:c>
            <x15:v>125</x15:v>
          </x15:c>
          <x15:c>
            <x15:v>976</x15:v>
          </x15:c>
          <x15:c>
            <x15:v>914</x15:v>
          </x15:c>
          <x15:c>
            <x15:v>548</x15:v>
          </x15:c>
          <x15:c>
            <x15:v>58</x15:v>
          </x15:c>
          <x15:c>
            <x15:v>12903</x15:v>
          </x15:c>
        </x15:pivotRow>
        <x15:pivotRow count="11">
          <x15:c>
            <x15:v>985</x15:v>
          </x15:c>
          <x15:c>
            <x15:v>244</x15:v>
          </x15:c>
          <x15:c>
            <x15:v>2382</x15:v>
          </x15:c>
          <x15:c>
            <x15:v>420</x15:v>
          </x15:c>
          <x15:c>
            <x15:v>6973</x15:v>
          </x15:c>
          <x15:c>
            <x15:v>227</x15:v>
          </x15:c>
          <x15:c>
            <x15:v>976</x15:v>
          </x15:c>
          <x15:c>
            <x15:v>672</x15:v>
          </x15:c>
          <x15:c>
            <x15:v>403</x15:v>
          </x15:c>
          <x15:c>
            <x15:v>58</x15:v>
          </x15:c>
          <x15:c>
            <x15:v>13340</x15:v>
          </x15:c>
        </x15:pivotRow>
        <x15:pivotRow count="11">
          <x15:c>
            <x15:v>1457</x15:v>
          </x15:c>
          <x15:c>
            <x15:v>244</x15:v>
          </x15:c>
          <x15:c>
            <x15:v>2074</x15:v>
          </x15:c>
          <x15:c>
            <x15:v>420</x15:v>
          </x15:c>
          <x15:c>
            <x15:v>6481</x15:v>
          </x15:c>
          <x15:c>
            <x15:v>227</x15:v>
          </x15:c>
          <x15:c>
            <x15:v>976</x15:v>
          </x15:c>
          <x15:c>
            <x15:v>672</x15:v>
          </x15:c>
          <x15:c>
            <x15:v>403</x15:v>
          </x15:c>
          <x15:c>
            <x15:v>58</x15:v>
          </x15:c>
          <x15:c>
            <x15:v>13012</x15:v>
          </x15:c>
        </x15:pivotRow>
        <x15:pivotRow count="11">
          <x15:c t="e">
            <x15:v/>
          </x15:c>
          <x15:c>
            <x15:v>315</x15:v>
          </x15:c>
          <x15:c>
            <x15:v>1713</x15:v>
          </x15:c>
          <x15:c>
            <x15:v>420</x15:v>
          </x15:c>
          <x15:c>
            <x15:v>6844</x15:v>
          </x15:c>
          <x15:c>
            <x15:v>125</x15:v>
          </x15:c>
          <x15:c>
            <x15:v>976</x15:v>
          </x15:c>
          <x15:c>
            <x15:v>672</x15:v>
          </x15:c>
          <x15:c>
            <x15:v>403</x15:v>
          </x15:c>
          <x15:c>
            <x15:v>59</x15:v>
          </x15:c>
          <x15:c>
            <x15:v>11527</x15:v>
          </x15:c>
        </x15:pivotRow>
        <x15:pivotRow count="11">
          <x15:c t="e">
            <x15:v/>
          </x15:c>
          <x15:c>
            <x15:v>140</x15:v>
          </x15:c>
          <x15:c>
            <x15:v>2176</x15:v>
          </x15:c>
          <x15:c>
            <x15:v>808</x15:v>
          </x15:c>
          <x15:c>
            <x15:v>6176</x15:v>
          </x15:c>
          <x15:c>
            <x15:v>125</x15:v>
          </x15:c>
          <x15:c>
            <x15:v>976</x15:v>
          </x15:c>
          <x15:c>
            <x15:v>672</x15:v>
          </x15:c>
          <x15:c>
            <x15:v>403</x15:v>
          </x15:c>
          <x15:c>
            <x15:v>58</x15:v>
          </x15:c>
          <x15:c>
            <x15:v>11534</x15:v>
          </x15:c>
        </x15:pivotRow>
        <x15:pivotRow count="11">
          <x15:c t="e">
            <x15:v/>
          </x15:c>
          <x15:c>
            <x15:v>140</x15:v>
          </x15:c>
          <x15:c>
            <x15:v>2060</x15:v>
          </x15:c>
          <x15:c>
            <x15:v>808</x15:v>
          </x15:c>
          <x15:c>
            <x15:v>7621</x15:v>
          </x15:c>
          <x15:c>
            <x15:v>412</x15:v>
          </x15:c>
          <x15:c>
            <x15:v>976</x15:v>
          </x15:c>
          <x15:c>
            <x15:v>534</x15:v>
          </x15:c>
          <x15:c>
            <x15:v>403</x15:v>
          </x15:c>
          <x15:c>
            <x15:v>58</x15:v>
          </x15:c>
          <x15:c>
            <x15:v>13012</x15:v>
          </x15:c>
        </x15:pivotRow>
        <x15:pivotRow count="11">
          <x15:c t="e">
            <x15:v/>
          </x15:c>
          <x15:c>
            <x15:v>421</x15:v>
          </x15:c>
          <x15:c>
            <x15:v>2649</x15:v>
          </x15:c>
          <x15:c>
            <x15:v>388</x15:v>
          </x15:c>
          <x15:c>
            <x15:v>7595</x15:v>
          </x15:c>
          <x15:c>
            <x15:v>153</x15:v>
          </x15:c>
          <x15:c>
            <x15:v>976</x15:v>
          </x15:c>
          <x15:c>
            <x15:v>534</x15:v>
          </x15:c>
          <x15:c>
            <x15:v>403</x15:v>
          </x15:c>
          <x15:c>
            <x15:v>58</x15:v>
          </x15:c>
          <x15:c>
            <x15:v>13177</x15:v>
          </x15:c>
        </x15:pivotRow>
        <x15:pivotRow count="11">
          <x15:c t="e">
            <x15:v/>
          </x15:c>
          <x15:c>
            <x15:v>421</x15:v>
          </x15:c>
          <x15:c>
            <x15:v>2636</x15:v>
          </x15:c>
          <x15:c t="e">
            <x15:v/>
          </x15:c>
          <x15:c>
            <x15:v>7174</x15:v>
          </x15:c>
          <x15:c>
            <x15:v>125</x15:v>
          </x15:c>
          <x15:c>
            <x15:v>976</x15:v>
          </x15:c>
          <x15:c>
            <x15:v>534</x15:v>
          </x15:c>
          <x15:c>
            <x15:v>403</x15:v>
          </x15:c>
          <x15:c>
            <x15:v>136</x15:v>
          </x15:c>
          <x15:c>
            <x15:v>12405</x15:v>
          </x15:c>
        </x15:pivotRow>
        <x15:pivotRow count="11">
          <x15:c>
            <x15:v>472</x15:v>
          </x15:c>
          <x15:c>
            <x15:v>420</x15:v>
          </x15:c>
          <x15:c>
            <x15:v>2632</x15:v>
          </x15:c>
          <x15:c t="e">
            <x15:v/>
          </x15:c>
          <x15:c>
            <x15:v>7688</x15:v>
          </x15:c>
          <x15:c>
            <x15:v>125</x15:v>
          </x15:c>
          <x15:c>
            <x15:v>976</x15:v>
          </x15:c>
          <x15:c>
            <x15:v>534</x15:v>
          </x15:c>
          <x15:c>
            <x15:v>260</x15:v>
          </x15:c>
          <x15:c>
            <x15:v>136</x15:v>
          </x15:c>
          <x15:c>
            <x15:v>13243</x15:v>
          </x15:c>
        </x15:pivotRow>
        <x15:pivotRow count="11">
          <x15:c t="e">
            <x15:v/>
          </x15:c>
          <x15:c>
            <x15:v>140</x15:v>
          </x15:c>
          <x15:c>
            <x15:v>2639</x15:v>
          </x15:c>
          <x15:c t="e">
            <x15:v/>
          </x15:c>
          <x15:c>
            <x15:v>7220</x15:v>
          </x15:c>
          <x15:c>
            <x15:v>125</x15:v>
          </x15:c>
          <x15:c>
            <x15:v>976</x15:v>
          </x15:c>
          <x15:c>
            <x15:v>534</x15:v>
          </x15:c>
          <x15:c>
            <x15:v>405</x15:v>
          </x15:c>
          <x15:c>
            <x15:v>136</x15:v>
          </x15:c>
          <x15:c>
            <x15:v>12175</x15:v>
          </x15:c>
        </x15:pivotRow>
        <x15:pivotRow count="11">
          <x15:c t="e">
            <x15:v/>
          </x15:c>
          <x15:c>
            <x15:v>140</x15:v>
          </x15:c>
          <x15:c>
            <x15:v>2608</x15:v>
          </x15:c>
          <x15:c t="e">
            <x15:v/>
          </x15:c>
          <x15:c>
            <x15:v>6763</x15:v>
          </x15:c>
          <x15:c>
            <x15:v>410</x15:v>
          </x15:c>
          <x15:c>
            <x15:v>976</x15:v>
          </x15:c>
          <x15:c>
            <x15:v>534</x15:v>
          </x15:c>
          <x15:c>
            <x15:v>405</x15:v>
          </x15:c>
          <x15:c>
            <x15:v>126</x15:v>
          </x15:c>
          <x15:c>
            <x15:v>11962</x15:v>
          </x15:c>
        </x15:pivotRow>
        <x15:pivotRow count="11">
          <x15:c t="e">
            <x15:v/>
          </x15:c>
          <x15:c>
            <x15:v>140</x15:v>
          </x15:c>
          <x15:c>
            <x15:v>2367</x15:v>
          </x15:c>
          <x15:c t="e">
            <x15:v/>
          </x15:c>
          <x15:c>
            <x15:v>7192</x15:v>
          </x15:c>
          <x15:c t="e">
            <x15:v/>
          </x15:c>
          <x15:c>
            <x15:v>976</x15:v>
          </x15:c>
          <x15:c>
            <x15:v>534</x15:v>
          </x15:c>
          <x15:c>
            <x15:v>405</x15:v>
          </x15:c>
          <x15:c>
            <x15:v>125</x15:v>
          </x15:c>
          <x15:c>
            <x15:v>11739</x15:v>
          </x15:c>
        </x15:pivotRow>
        <x15:pivotRow count="11">
          <x15:c t="e">
            <x15:v/>
          </x15:c>
          <x15:c>
            <x15:v>140</x15:v>
          </x15:c>
          <x15:c>
            <x15:v>2003</x15:v>
          </x15:c>
          <x15:c t="e">
            <x15:v/>
          </x15:c>
          <x15:c>
            <x15:v>6324</x15:v>
          </x15:c>
          <x15:c t="e">
            <x15:v/>
          </x15:c>
          <x15:c>
            <x15:v>976</x15:v>
          </x15:c>
          <x15:c>
            <x15:v>534</x15:v>
          </x15:c>
          <x15:c t="e">
            <x15:v/>
          </x15:c>
          <x15:c>
            <x15:v>58</x15:v>
          </x15:c>
          <x15:c>
            <x15:v>10035</x15:v>
          </x15:c>
        </x15:pivotRow>
        <x15:pivotRow count="11">
          <x15:c t="e">
            <x15:v/>
          </x15:c>
          <x15:c>
            <x15:v>140</x15:v>
          </x15:c>
          <x15:c>
            <x15:v>2522</x15:v>
          </x15:c>
          <x15:c t="e">
            <x15:v/>
          </x15:c>
          <x15:c>
            <x15:v>6453</x15:v>
          </x15:c>
          <x15:c t="e">
            <x15:v/>
          </x15:c>
          <x15:c>
            <x15:v>384</x15:v>
          </x15:c>
          <x15:c>
            <x15:v>534</x15:v>
          </x15:c>
          <x15:c>
            <x15:v>115</x15:v>
          </x15:c>
          <x15:c>
            <x15:v>58</x15:v>
          </x15:c>
          <x15:c>
            <x15:v>10206</x15:v>
          </x15:c>
        </x15:pivotRow>
        <x15:pivotRow count="11">
          <x15:c t="e">
            <x15:v/>
          </x15:c>
          <x15:c>
            <x15:v>140</x15:v>
          </x15:c>
          <x15:c>
            <x15:v>2622</x15:v>
          </x15:c>
          <x15:c t="e">
            <x15:v/>
          </x15:c>
          <x15:c>
            <x15:v>5536</x15:v>
          </x15:c>
          <x15:c t="e">
            <x15:v/>
          </x15:c>
          <x15:c>
            <x15:v>384</x15:v>
          </x15:c>
          <x15:c>
            <x15:v>534</x15:v>
          </x15:c>
          <x15:c>
            <x15:v>115</x15:v>
          </x15:c>
          <x15:c>
            <x15:v>47</x15:v>
          </x15:c>
          <x15:c>
            <x15:v>9378</x15:v>
          </x15:c>
        </x15:pivotRow>
        <x15:pivotRow count="11">
          <x15:c t="e">
            <x15:v/>
          </x15:c>
          <x15:c>
            <x15:v>140</x15:v>
          </x15:c>
          <x15:c>
            <x15:v>2052</x15:v>
          </x15:c>
          <x15:c>
            <x15:v>388</x15:v>
          </x15:c>
          <x15:c>
            <x15:v>5776</x15:v>
          </x15:c>
          <x15:c t="e">
            <x15:v/>
          </x15:c>
          <x15:c>
            <x15:v>384</x15:v>
          </x15:c>
          <x15:c>
            <x15:v>267</x15:v>
          </x15:c>
          <x15:c>
            <x15:v>115</x15:v>
          </x15:c>
          <x15:c>
            <x15:v>44</x15:v>
          </x15:c>
          <x15:c>
            <x15:v>9166</x15:v>
          </x15:c>
        </x15:pivotRow>
        <x15:pivotRow count="11">
          <x15:c t="e">
            <x15:v/>
          </x15:c>
          <x15:c>
            <x15:v>140</x15:v>
          </x15:c>
          <x15:c>
            <x15:v>2018</x15:v>
          </x15:c>
          <x15:c>
            <x15:v>388</x15:v>
          </x15:c>
          <x15:c>
            <x15:v>6302</x15:v>
          </x15:c>
          <x15:c t="e">
            <x15:v/>
          </x15:c>
          <x15:c>
            <x15:v>384</x15:v>
          </x15:c>
          <x15:c>
            <x15:v>267</x15:v>
          </x15:c>
          <x15:c>
            <x15:v>115</x15:v>
          </x15:c>
          <x15:c>
            <x15:v>44</x15:v>
          </x15:c>
          <x15:c>
            <x15:v>9658</x15:v>
          </x15:c>
        </x15:pivotRow>
        <x15:pivotRow count="11">
          <x15:c t="e">
            <x15:v/>
          </x15:c>
          <x15:c>
            <x15:v>140</x15:v>
          </x15:c>
          <x15:c>
            <x15:v>2187</x15:v>
          </x15:c>
          <x15:c>
            <x15:v>388</x15:v>
          </x15:c>
          <x15:c>
            <x15:v>6235</x15:v>
          </x15:c>
          <x15:c t="e">
            <x15:v/>
          </x15:c>
          <x15:c>
            <x15:v>784</x15:v>
          </x15:c>
          <x15:c>
            <x15:v>267</x15:v>
          </x15:c>
          <x15:c>
            <x15:v>115</x15:v>
          </x15:c>
          <x15:c>
            <x15:v>44</x15:v>
          </x15:c>
          <x15:c>
            <x15:v>10160</x15:v>
          </x15:c>
        </x15:pivotRow>
        <x15:pivotRow count="11">
          <x15:c t="e">
            <x15:v/>
          </x15:c>
          <x15:c>
            <x15:v>407</x15:v>
          </x15:c>
          <x15:c>
            <x15:v>2354</x15:v>
          </x15:c>
          <x15:c>
            <x15:v>388</x15:v>
          </x15:c>
          <x15:c>
            <x15:v>6483</x15:v>
          </x15:c>
          <x15:c t="e">
            <x15:v/>
          </x15:c>
          <x15:c>
            <x15:v>1229</x15:v>
          </x15:c>
          <x15:c>
            <x15:v>267</x15:v>
          </x15:c>
          <x15:c>
            <x15:v>905</x15:v>
          </x15:c>
          <x15:c>
            <x15:v>45</x15:v>
          </x15:c>
          <x15:c>
            <x15:v>12078</x15:v>
          </x15:c>
        </x15:pivotRow>
        <x15:pivotRow count="11">
          <x15:c>
            <x15:v>1272</x15:v>
          </x15:c>
          <x15:c>
            <x15:v>140</x15:v>
          </x15:c>
          <x15:c>
            <x15:v>1955</x15:v>
          </x15:c>
          <x15:c>
            <x15:v>388</x15:v>
          </x15:c>
          <x15:c>
            <x15:v>7117</x15:v>
          </x15:c>
          <x15:c t="e">
            <x15:v/>
          </x15:c>
          <x15:c>
            <x15:v>1592</x15:v>
          </x15:c>
          <x15:c>
            <x15:v>414</x15:v>
          </x15:c>
          <x15:c>
            <x15:v>115</x15:v>
          </x15:c>
          <x15:c>
            <x15:v>65</x15:v>
          </x15:c>
          <x15:c>
            <x15:v>13058</x15:v>
          </x15:c>
        </x15:pivotRow>
        <x15:pivotRow count="11">
          <x15:c>
            <x15:v>800</x15:v>
          </x15:c>
          <x15:c>
            <x15:v>140</x15:v>
          </x15:c>
          <x15:c>
            <x15:v>2156</x15:v>
          </x15:c>
          <x15:c>
            <x15:v>388</x15:v>
          </x15:c>
          <x15:c>
            <x15:v>6754</x15:v>
          </x15:c>
          <x15:c t="e">
            <x15:v/>
          </x15:c>
          <x15:c>
            <x15:v>1592</x15:v>
          </x15:c>
          <x15:c>
            <x15:v>267</x15:v>
          </x15:c>
          <x15:c>
            <x15:v>115</x15:v>
          </x15:c>
          <x15:c>
            <x15:v>65</x15:v>
          </x15:c>
          <x15:c>
            <x15:v>12277</x15:v>
          </x15:c>
        </x15:pivotRow>
        <x15:pivotRow count="11">
          <x15:c>
            <x15:v>800</x15:v>
          </x15:c>
          <x15:c>
            <x15:v>140</x15:v>
          </x15:c>
          <x15:c>
            <x15:v>3164</x15:v>
          </x15:c>
          <x15:c>
            <x15:v>438</x15:v>
          </x15:c>
          <x15:c>
            <x15:v>7426</x15:v>
          </x15:c>
          <x15:c>
            <x15:v>287</x15:v>
          </x15:c>
          <x15:c>
            <x15:v>1592</x15:v>
          </x15:c>
          <x15:c>
            <x15:v>267</x15:v>
          </x15:c>
          <x15:c>
            <x15:v>115</x15:v>
          </x15:c>
          <x15:c>
            <x15:v>65</x15:v>
          </x15:c>
          <x15:c>
            <x15:v>14294</x15:v>
          </x15:c>
        </x15:pivotRow>
        <x15:pivotRow count="11">
          <x15:c>
            <x15:v>800</x15:v>
          </x15:c>
          <x15:c>
            <x15:v>140</x15:v>
          </x15:c>
          <x15:c>
            <x15:v>3071</x15:v>
          </x15:c>
          <x15:c>
            <x15:v>388</x15:v>
          </x15:c>
          <x15:c>
            <x15:v>7060</x15:v>
          </x15:c>
          <x15:c>
            <x15:v>574</x15:v>
          </x15:c>
          <x15:c>
            <x15:v>1592</x15:v>
          </x15:c>
          <x15:c>
            <x15:v>534</x15:v>
          </x15:c>
          <x15:c>
            <x15:v>115</x15:v>
          </x15:c>
          <x15:c>
            <x15:v>65</x15:v>
          </x15:c>
          <x15:c>
            <x15:v>14339</x15:v>
          </x15:c>
        </x15:pivotRow>
        <x15:pivotRow count="11">
          <x15:c>
            <x15:v>800</x15:v>
          </x15:c>
          <x15:c>
            <x15:v>140</x15:v>
          </x15:c>
          <x15:c>
            <x15:v>3198</x15:v>
          </x15:c>
          <x15:c>
            <x15:v>388</x15:v>
          </x15:c>
          <x15:c>
            <x15:v>7930</x15:v>
          </x15:c>
          <x15:c>
            <x15:v>482</x15:v>
          </x15:c>
          <x15:c>
            <x15:v>1592</x15:v>
          </x15:c>
          <x15:c>
            <x15:v>267</x15:v>
          </x15:c>
          <x15:c>
            <x15:v>115</x15:v>
          </x15:c>
          <x15:c>
            <x15:v>65</x15:v>
          </x15:c>
          <x15:c>
            <x15:v>14977</x15:v>
          </x15:c>
        </x15:pivotRow>
        <x15:pivotRow count="11">
          <x15:c>
            <x15:v>800</x15:v>
          </x15:c>
          <x15:c>
            <x15:v>140</x15:v>
          </x15:c>
          <x15:c>
            <x15:v>2794</x15:v>
          </x15:c>
          <x15:c>
            <x15:v>388</x15:v>
          </x15:c>
          <x15:c>
            <x15:v>7254</x15:v>
          </x15:c>
          <x15:c>
            <x15:v>149</x15:v>
          </x15:c>
          <x15:c>
            <x15:v>1592</x15:v>
          </x15:c>
          <x15:c>
            <x15:v>267</x15:v>
          </x15:c>
          <x15:c>
            <x15:v>115</x15:v>
          </x15:c>
          <x15:c>
            <x15:v>65</x15:v>
          </x15:c>
          <x15:c>
            <x15:v>13564</x15:v>
          </x15:c>
        </x15:pivotRow>
        <x15:pivotRow count="11">
          <x15:c>
            <x15:v>800</x15:v>
          </x15:c>
          <x15:c>
            <x15:v>140</x15:v>
          </x15:c>
          <x15:c>
            <x15:v>2884</x15:v>
          </x15:c>
          <x15:c>
            <x15:v>388</x15:v>
          </x15:c>
          <x15:c>
            <x15:v>7747</x15:v>
          </x15:c>
          <x15:c>
            <x15:v>183</x15:v>
          </x15:c>
          <x15:c>
            <x15:v>1592</x15:v>
          </x15:c>
          <x15:c>
            <x15:v>267</x15:v>
          </x15:c>
          <x15:c>
            <x15:v>115</x15:v>
          </x15:c>
          <x15:c>
            <x15:v>65</x15:v>
          </x15:c>
          <x15:c>
            <x15:v>14181</x15:v>
          </x15:c>
        </x15:pivotRow>
        <x15:pivotRow count="11">
          <x15:c>
            <x15:v>800</x15:v>
          </x15:c>
          <x15:c>
            <x15:v>140</x15:v>
          </x15:c>
          <x15:c>
            <x15:v>2667</x15:v>
          </x15:c>
          <x15:c>
            <x15:v>388</x15:v>
          </x15:c>
          <x15:c>
            <x15:v>7256</x15:v>
          </x15:c>
          <x15:c t="e">
            <x15:v/>
          </x15:c>
          <x15:c>
            <x15:v>1592</x15:v>
          </x15:c>
          <x15:c>
            <x15:v>267</x15:v>
          </x15:c>
          <x15:c>
            <x15:v>371</x15:v>
          </x15:c>
          <x15:c>
            <x15:v>65</x15:v>
          </x15:c>
          <x15:c>
            <x15:v>13546</x15:v>
          </x15:c>
        </x15:pivotRow>
        <x15:pivotRow count="11">
          <x15:c>
            <x15:v>800</x15:v>
          </x15:c>
          <x15:c>
            <x15:v>140</x15:v>
          </x15:c>
          <x15:c>
            <x15:v>2667</x15:v>
          </x15:c>
          <x15:c>
            <x15:v>388</x15:v>
          </x15:c>
          <x15:c>
            <x15:v>7256</x15:v>
          </x15:c>
          <x15:c t="e">
            <x15:v/>
          </x15:c>
          <x15:c>
            <x15:v>1592</x15:v>
          </x15:c>
          <x15:c>
            <x15:v>267</x15:v>
          </x15:c>
          <x15:c>
            <x15:v>256</x15:v>
          </x15:c>
          <x15:c>
            <x15:v>65</x15:v>
          </x15:c>
          <x15:c>
            <x15:v>13431</x15:v>
          </x15:c>
        </x15:pivotRow>
        <x15:pivotRow count="11">
          <x15:c>
            <x15:v>800</x15:v>
          </x15:c>
          <x15:c>
            <x15:v>140</x15:v>
          </x15:c>
          <x15:c>
            <x15:v>2051</x15:v>
          </x15:c>
          <x15:c>
            <x15:v>388</x15:v>
          </x15:c>
          <x15:c>
            <x15:v>6997</x15:v>
          </x15:c>
          <x15:c>
            <x15:v>247</x15:v>
          </x15:c>
          <x15:c>
            <x15:v>1592</x15:v>
          </x15:c>
          <x15:c>
            <x15:v>267</x15:v>
          </x15:c>
          <x15:c>
            <x15:v>256</x15:v>
          </x15:c>
          <x15:c>
            <x15:v>65</x15:v>
          </x15:c>
          <x15:c>
            <x15:v>12803</x15:v>
          </x15:c>
        </x15:pivotRow>
        <x15:pivotRow count="11">
          <x15:c>
            <x15:v>800</x15:v>
          </x15:c>
          <x15:c>
            <x15:v>140</x15:v>
          </x15:c>
          <x15:c>
            <x15:v>2051</x15:v>
          </x15:c>
          <x15:c>
            <x15:v>388</x15:v>
          </x15:c>
          <x15:c>
            <x15:v>7098</x15:v>
          </x15:c>
          <x15:c>
            <x15:v>247</x15:v>
          </x15:c>
          <x15:c>
            <x15:v>1592</x15:v>
          </x15:c>
          <x15:c t="e">
            <x15:v/>
          </x15:c>
          <x15:c>
            <x15:v>256</x15:v>
          </x15:c>
          <x15:c>
            <x15:v>65</x15:v>
          </x15:c>
          <x15:c>
            <x15:v>12637</x15:v>
          </x15:c>
        </x15:pivotRow>
        <x15:pivotRow count="11">
          <x15:c>
            <x15:v>800</x15:v>
          </x15:c>
          <x15:c>
            <x15:v>140</x15:v>
          </x15:c>
          <x15:c>
            <x15:v>2051</x15:v>
          </x15:c>
          <x15:c>
            <x15:v>388</x15:v>
          </x15:c>
          <x15:c>
            <x15:v>7172</x15:v>
          </x15:c>
          <x15:c>
            <x15:v>247</x15:v>
          </x15:c>
          <x15:c>
            <x15:v>1592</x15:v>
          </x15:c>
          <x15:c t="e">
            <x15:v/>
          </x15:c>
          <x15:c>
            <x15:v>256</x15:v>
          </x15:c>
          <x15:c>
            <x15:v>65</x15:v>
          </x15:c>
          <x15:c>
            <x15:v>12711</x15:v>
          </x15:c>
        </x15:pivotRow>
        <x15:pivotRow count="11">
          <x15:c>
            <x15:v>800</x15:v>
          </x15:c>
          <x15:c>
            <x15:v>140</x15:v>
          </x15:c>
          <x15:c>
            <x15:v>2051</x15:v>
          </x15:c>
          <x15:c>
            <x15:v>388</x15:v>
          </x15:c>
          <x15:c>
            <x15:v>6949</x15:v>
          </x15:c>
          <x15:c>
            <x15:v>247</x15:v>
          </x15:c>
          <x15:c>
            <x15:v>1592</x15:v>
          </x15:c>
          <x15:c t="e">
            <x15:v/>
          </x15:c>
          <x15:c>
            <x15:v>256</x15:v>
          </x15:c>
          <x15:c>
            <x15:v>65</x15:v>
          </x15:c>
          <x15:c>
            <x15:v>12488</x15:v>
          </x15:c>
        </x15:pivotRow>
        <x15:pivotRow count="11">
          <x15:c>
            <x15:v>800</x15:v>
          </x15:c>
          <x15:c>
            <x15:v>140</x15:v>
          </x15:c>
          <x15:c>
            <x15:v>2051</x15:v>
          </x15:c>
          <x15:c>
            <x15:v>388</x15:v>
          </x15:c>
          <x15:c>
            <x15:v>6606</x15:v>
          </x15:c>
          <x15:c>
            <x15:v>247</x15:v>
          </x15:c>
          <x15:c>
            <x15:v>1592</x15:v>
          </x15:c>
          <x15:c t="e">
            <x15:v/>
          </x15:c>
          <x15:c>
            <x15:v>256</x15:v>
          </x15:c>
          <x15:c>
            <x15:v>65</x15:v>
          </x15:c>
          <x15:c>
            <x15:v>12145</x15:v>
          </x15:c>
        </x15:pivotRow>
        <x15:pivotRow count="11">
          <x15:c>
            <x15:v>1180</x15:v>
          </x15:c>
          <x15:c>
            <x15:v>140</x15:v>
          </x15:c>
          <x15:c>
            <x15:v>1434</x15:v>
          </x15:c>
          <x15:c>
            <x15:v>388</x15:v>
          </x15:c>
          <x15:c>
            <x15:v>6158</x15:v>
          </x15:c>
          <x15:c>
            <x15:v>247</x15:v>
          </x15:c>
          <x15:c>
            <x15:v>1592</x15:v>
          </x15:c>
          <x15:c t="e">
            <x15:v/>
          </x15:c>
          <x15:c>
            <x15:v>991</x15:v>
          </x15:c>
          <x15:c>
            <x15:v>65</x15:v>
          </x15:c>
          <x15:c>
            <x15:v>12195</x15:v>
          </x15:c>
        </x15:pivotRow>
        <x15:pivotRow count="11">
          <x15:c>
            <x15:v>1180</x15:v>
          </x15:c>
          <x15:c>
            <x15:v>140</x15:v>
          </x15:c>
          <x15:c>
            <x15:v>1434</x15:v>
          </x15:c>
          <x15:c>
            <x15:v>388</x15:v>
          </x15:c>
          <x15:c>
            <x15:v>6158</x15:v>
          </x15:c>
          <x15:c>
            <x15:v>247</x15:v>
          </x15:c>
          <x15:c>
            <x15:v>1592</x15:v>
          </x15:c>
          <x15:c t="e">
            <x15:v/>
          </x15:c>
          <x15:c>
            <x15:v>735</x15:v>
          </x15:c>
          <x15:c>
            <x15:v>65</x15:v>
          </x15:c>
          <x15:c>
            <x15:v>11939</x15:v>
          </x15:c>
        </x15:pivotRow>
        <x15:pivotRow count="11">
          <x15:c>
            <x15:v>1785</x15:v>
          </x15:c>
          <x15:c>
            <x15:v>140</x15:v>
          </x15:c>
          <x15:c>
            <x15:v>1434</x15:v>
          </x15:c>
          <x15:c>
            <x15:v>388</x15:v>
          </x15:c>
          <x15:c>
            <x15:v>6701</x15:v>
          </x15:c>
          <x15:c>
            <x15:v>247</x15:v>
          </x15:c>
          <x15:c>
            <x15:v>1976</x15:v>
          </x15:c>
          <x15:c t="e">
            <x15:v/>
          </x15:c>
          <x15:c>
            <x15:v>735</x15:v>
          </x15:c>
          <x15:c>
            <x15:v>65</x15:v>
          </x15:c>
          <x15:c>
            <x15:v>13471</x15:v>
          </x15:c>
        </x15:pivotRow>
        <x15:pivotRow count="11">
          <x15:c>
            <x15:v>1785</x15:v>
          </x15:c>
          <x15:c>
            <x15:v>140</x15:v>
          </x15:c>
          <x15:c>
            <x15:v>1030</x15:v>
          </x15:c>
          <x15:c>
            <x15:v>388</x15:v>
          </x15:c>
          <x15:c>
            <x15:v>6701</x15:v>
          </x15:c>
          <x15:c>
            <x15:v>247</x15:v>
          </x15:c>
          <x15:c>
            <x15:v>1976</x15:v>
          </x15:c>
          <x15:c t="e">
            <x15:v/>
          </x15:c>
          <x15:c>
            <x15:v>735</x15:v>
          </x15:c>
          <x15:c>
            <x15:v>65</x15:v>
          </x15:c>
          <x15:c>
            <x15:v>13067</x15:v>
          </x15:c>
        </x15:pivotRow>
        <x15:pivotRow count="11">
          <x15:c>
            <x15:v>1785</x15:v>
          </x15:c>
          <x15:c>
            <x15:v>140</x15:v>
          </x15:c>
          <x15:c>
            <x15:v>1030</x15:v>
          </x15:c>
          <x15:c>
            <x15:v>388</x15:v>
          </x15:c>
          <x15:c>
            <x15:v>6701</x15:v>
          </x15:c>
          <x15:c>
            <x15:v>247</x15:v>
          </x15:c>
          <x15:c>
            <x15:v>1168</x15:v>
          </x15:c>
          <x15:c t="e">
            <x15:v/>
          </x15:c>
          <x15:c>
            <x15:v>735</x15:v>
          </x15:c>
          <x15:c>
            <x15:v>65</x15:v>
          </x15:c>
          <x15:c>
            <x15:v>12259</x15:v>
          </x15:c>
        </x15:pivotRow>
        <x15:pivotRow count="11">
          <x15:c>
            <x15:v>1785</x15:v>
          </x15:c>
          <x15:c>
            <x15:v>140</x15:v>
          </x15:c>
          <x15:c>
            <x15:v>1030</x15:v>
          </x15:c>
          <x15:c>
            <x15:v>388</x15:v>
          </x15:c>
          <x15:c>
            <x15:v>6701</x15:v>
          </x15:c>
          <x15:c>
            <x15:v>247</x15:v>
          </x15:c>
          <x15:c>
            <x15:v>1168</x15:v>
          </x15:c>
          <x15:c t="e">
            <x15:v/>
          </x15:c>
          <x15:c>
            <x15:v>735</x15:v>
          </x15:c>
          <x15:c>
            <x15:v>65</x15:v>
          </x15:c>
          <x15:c>
            <x15:v>12259</x15:v>
          </x15:c>
        </x15:pivotRow>
        <x15:pivotRow count="11">
          <x15:c>
            <x15:v>1785</x15:v>
          </x15:c>
          <x15:c>
            <x15:v>140</x15:v>
          </x15:c>
          <x15:c>
            <x15:v>1030</x15:v>
          </x15:c>
          <x15:c>
            <x15:v>388</x15:v>
          </x15:c>
          <x15:c>
            <x15:v>6701</x15:v>
          </x15:c>
          <x15:c>
            <x15:v>247</x15:v>
          </x15:c>
          <x15:c>
            <x15:v>1168</x15:v>
          </x15:c>
          <x15:c t="e">
            <x15:v/>
          </x15:c>
          <x15:c>
            <x15:v>735</x15:v>
          </x15:c>
          <x15:c>
            <x15:v>65</x15:v>
          </x15:c>
          <x15:c>
            <x15:v>12259</x15:v>
          </x15:c>
        </x15:pivotRow>
        <x15:pivotRow count="11">
          <x15:c>
            <x15:v>1785</x15:v>
          </x15:c>
          <x15:c>
            <x15:v>140</x15:v>
          </x15:c>
          <x15:c>
            <x15:v>1030</x15:v>
          </x15:c>
          <x15:c>
            <x15:v>388</x15:v>
          </x15:c>
          <x15:c>
            <x15:v>6808</x15:v>
          </x15:c>
          <x15:c>
            <x15:v>247</x15:v>
          </x15:c>
          <x15:c>
            <x15:v>1168</x15:v>
          </x15:c>
          <x15:c t="e">
            <x15:v/>
          </x15:c>
          <x15:c>
            <x15:v>1023</x15:v>
          </x15:c>
          <x15:c>
            <x15:v>65</x15:v>
          </x15:c>
          <x15:c>
            <x15:v>12654</x15:v>
          </x15:c>
        </x15:pivotRow>
        <x15:pivotRow count="11">
          <x15:c>
            <x15:v>1785</x15:v>
          </x15:c>
          <x15:c>
            <x15:v>140</x15:v>
          </x15:c>
          <x15:c>
            <x15:v>1030</x15:v>
          </x15:c>
          <x15:c>
            <x15:v>388</x15:v>
          </x15:c>
          <x15:c>
            <x15:v>6970</x15:v>
          </x15:c>
          <x15:c>
            <x15:v>247</x15:v>
          </x15:c>
          <x15:c>
            <x15:v>1168</x15:v>
          </x15:c>
          <x15:c t="e">
            <x15:v/>
          </x15:c>
          <x15:c>
            <x15:v>1023</x15:v>
          </x15:c>
          <x15:c>
            <x15:v>65</x15:v>
          </x15:c>
          <x15:c>
            <x15:v>12816</x15:v>
          </x15:c>
        </x15:pivotRow>
        <x15:pivotRow count="11">
          <x15:c>
            <x15:v>1785</x15:v>
          </x15:c>
          <x15:c>
            <x15:v>140</x15:v>
          </x15:c>
          <x15:c>
            <x15:v>1030</x15:v>
          </x15:c>
          <x15:c>
            <x15:v>388</x15:v>
          </x15:c>
          <x15:c>
            <x15:v>6170</x15:v>
          </x15:c>
          <x15:c>
            <x15:v>247</x15:v>
          </x15:c>
          <x15:c>
            <x15:v>1168</x15:v>
          </x15:c>
          <x15:c t="e">
            <x15:v/>
          </x15:c>
          <x15:c>
            <x15:v>1023</x15:v>
          </x15:c>
          <x15:c>
            <x15:v>65</x15:v>
          </x15:c>
          <x15:c>
            <x15:v>12016</x15:v>
          </x15:c>
        </x15:pivotRow>
        <x15:pivotRow count="11">
          <x15:c>
            <x15:v>1785</x15:v>
          </x15:c>
          <x15:c>
            <x15:v>140</x15:v>
          </x15:c>
          <x15:c>
            <x15:v>1030</x15:v>
          </x15:c>
          <x15:c>
            <x15:v>388</x15:v>
          </x15:c>
          <x15:c>
            <x15:v>6188</x15:v>
          </x15:c>
          <x15:c>
            <x15:v>247</x15:v>
          </x15:c>
          <x15:c>
            <x15:v>1168</x15:v>
          </x15:c>
          <x15:c t="e">
            <x15:v/>
          </x15:c>
          <x15:c>
            <x15:v>1023</x15:v>
          </x15:c>
          <x15:c>
            <x15:v>65</x15:v>
          </x15:c>
          <x15:c>
            <x15:v>12034</x15:v>
          </x15:c>
        </x15:pivotRow>
        <x15:pivotRow count="11">
          <x15:c>
            <x15:v>1785</x15:v>
          </x15:c>
          <x15:c>
            <x15:v>140</x15:v>
          </x15:c>
          <x15:c>
            <x15:v>1030</x15:v>
          </x15:c>
          <x15:c>
            <x15:v>388</x15:v>
          </x15:c>
          <x15:c>
            <x15:v>6071</x15:v>
          </x15:c>
          <x15:c>
            <x15:v>247</x15:v>
          </x15:c>
          <x15:c>
            <x15:v>1168</x15:v>
          </x15:c>
          <x15:c t="e">
            <x15:v/>
          </x15:c>
          <x15:c>
            <x15:v>1023</x15:v>
          </x15:c>
          <x15:c>
            <x15:v>65</x15:v>
          </x15:c>
          <x15:c>
            <x15:v>11917</x15:v>
          </x15:c>
        </x15:pivotRow>
        <x15:pivotRow count="11">
          <x15:c>
            <x15:v>1785</x15:v>
          </x15:c>
          <x15:c>
            <x15:v>140</x15:v>
          </x15:c>
          <x15:c>
            <x15:v>1030</x15:v>
          </x15:c>
          <x15:c>
            <x15:v>388</x15:v>
          </x15:c>
          <x15:c>
            <x15:v>6073</x15:v>
          </x15:c>
          <x15:c>
            <x15:v>247</x15:v>
          </x15:c>
          <x15:c>
            <x15:v>1168</x15:v>
          </x15:c>
          <x15:c t="e">
            <x15:v/>
          </x15:c>
          <x15:c>
            <x15:v>1023</x15:v>
          </x15:c>
          <x15:c>
            <x15:v>65</x15:v>
          </x15:c>
          <x15:c>
            <x15:v>11919</x15:v>
          </x15:c>
        </x15:pivotRow>
        <x15:pivotRow count="11">
          <x15:c>
            <x15:v>50408</x15:v>
          </x15:c>
          <x15:c>
            <x15:v>14416</x15:v>
          </x15:c>
          <x15:c>
            <x15:v>119314</x15:v>
          </x15:c>
          <x15:c>
            <x15:v>19522</x15:v>
          </x15:c>
          <x15:c>
            <x15:v>410878</x15:v>
          </x15:c>
          <x15:c>
            <x15:v>9504</x15:v>
          </x15:c>
          <x15:c>
            <x15:v>71130</x15:v>
          </x15:c>
          <x15:c>
            <x15:v>25569</x15:v>
          </x15:c>
          <x15:c>
            <x15:v>30886</x15:v>
          </x15:c>
          <x15:c>
            <x15:v>3917</x15:v>
          </x15:c>
          <x15:c>
            <x15:v>755544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TotalePerZona]"/>
      </x15:pivotTableUISettings>
    </ext>
  </extLst>
</pivotTableDefinition>
</file>

<file path=xl/pivotTables/pivotTable5.xml><?xml version="1.0" encoding="utf-8"?>
<pivotTableDefinition xmlns="http://schemas.openxmlformats.org/spreadsheetml/2006/main" name="PivotChartTable4" cacheId="88" applyNumberFormats="0" applyBorderFormats="0" applyFontFormats="0" applyPatternFormats="0" applyAlignmentFormats="0" applyWidthHeightFormats="1" dataCaption="Valori" updatedVersion="5" minRefreshableVersion="3" useAutoFormatting="1" itemPrintTitles="1" createdVersion="5" indent="0" showEmptyRow="1" showEmptyCol="1" outline="1" outlineData="1" multipleFieldFilters="0" chartFormat="2">
  <location ref="A1:B63" firstHeaderRow="1" firstDataRow="1" firstDataCol="1"/>
  <pivotFields count="2">
    <pivotField axis="axisRow" allDrilled="1" showAll="0" dataSourceSort="1" defaultAttributeDrillState="1">
      <items count="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t="default"/>
      </items>
    </pivotField>
    <pivotField dataField="1" showAll="0"/>
  </pivotFields>
  <rowFields count="1">
    <field x="0"/>
  </rowFields>
  <rowItems count="6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 t="grand">
      <x/>
    </i>
  </rowItems>
  <colItems count="1">
    <i/>
  </colItems>
  <dataFields count="1">
    <dataField name="Somma di Termico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2" columnCount="1" cacheId="4">
        <x15:pivotRow count="1">
          <x15:c>
            <x15:v>6814</x15:v>
          </x15:c>
        </x15:pivotRow>
        <x15:pivotRow count="1">
          <x15:c>
            <x15:v>8381</x15:v>
          </x15:c>
        </x15:pivotRow>
        <x15:pivotRow count="1">
          <x15:c>
            <x15:v>8322</x15:v>
          </x15:c>
        </x15:pivotRow>
        <x15:pivotRow count="1">
          <x15:c>
            <x15:v>8873</x15:v>
          </x15:c>
        </x15:pivotRow>
        <x15:pivotRow count="1">
          <x15:c>
            <x15:v>9779</x15:v>
          </x15:c>
        </x15:pivotRow>
        <x15:pivotRow count="1">
          <x15:c>
            <x15:v>9964</x15:v>
          </x15:c>
        </x15:pivotRow>
        <x15:pivotRow count="1">
          <x15:c>
            <x15:v>12220</x15:v>
          </x15:c>
        </x15:pivotRow>
        <x15:pivotRow count="1">
          <x15:c>
            <x15:v>11354</x15:v>
          </x15:c>
        </x15:pivotRow>
        <x15:pivotRow count="1">
          <x15:c>
            <x15:v>12681</x15:v>
          </x15:c>
        </x15:pivotRow>
        <x15:pivotRow count="1">
          <x15:c>
            <x15:v>11354</x15:v>
          </x15:c>
        </x15:pivotRow>
        <x15:pivotRow count="1">
          <x15:c>
            <x15:v>11090</x15:v>
          </x15:c>
        </x15:pivotRow>
        <x15:pivotRow count="1">
          <x15:c>
            <x15:v>10231</x15:v>
          </x15:c>
        </x15:pivotRow>
        <x15:pivotRow count="1">
          <x15:c>
            <x15:v>10765</x15:v>
          </x15:c>
        </x15:pivotRow>
        <x15:pivotRow count="1">
          <x15:c>
            <x15:v>11968</x15:v>
          </x15:c>
        </x15:pivotRow>
        <x15:pivotRow count="1">
          <x15:c>
            <x15:v>11113</x15:v>
          </x15:c>
        </x15:pivotRow>
        <x15:pivotRow count="1">
          <x15:c>
            <x15:v>10504</x15:v>
          </x15:c>
        </x15:pivotRow>
        <x15:pivotRow count="1">
          <x15:c>
            <x15:v>10131</x15:v>
          </x15:c>
        </x15:pivotRow>
        <x15:pivotRow count="1">
          <x15:c>
            <x15:v>10229</x15:v>
          </x15:c>
        </x15:pivotRow>
        <x15:pivotRow count="1">
          <x15:c>
            <x15:v>9221</x15:v>
          </x15:c>
        </x15:pivotRow>
        <x15:pivotRow count="1">
          <x15:c>
            <x15:v>9185</x15:v>
          </x15:c>
        </x15:pivotRow>
        <x15:pivotRow count="1">
          <x15:c>
            <x15:v>11049</x15:v>
          </x15:c>
        </x15:pivotRow>
        <x15:pivotRow count="1">
          <x15:c>
            <x15:v>10792</x15:v>
          </x15:c>
        </x15:pivotRow>
        <x15:pivotRow count="1">
          <x15:c>
            <x15:v>9879</x15:v>
          </x15:c>
        </x15:pivotRow>
        <x15:pivotRow count="1">
          <x15:c>
            <x15:v>11039</x15:v>
          </x15:c>
        </x15:pivotRow>
        <x15:pivotRow count="1">
          <x15:c>
            <x15:v>10065</x15:v>
          </x15:c>
        </x15:pivotRow>
        <x15:pivotRow count="1">
          <x15:c>
            <x15:v>10000</x15:v>
          </x15:c>
        </x15:pivotRow>
        <x15:pivotRow count="1">
          <x15:c>
            <x15:v>9465</x15:v>
          </x15:c>
        </x15:pivotRow>
        <x15:pivotRow count="1">
          <x15:c>
            <x15:v>8335</x15:v>
          </x15:c>
        </x15:pivotRow>
        <x15:pivotRow count="1">
          <x15:c>
            <x15:v>8351</x15:v>
          </x15:c>
        </x15:pivotRow>
        <x15:pivotRow count="1">
          <x15:c>
            <x15:v>7723</x15:v>
          </x15:c>
        </x15:pivotRow>
        <x15:pivotRow count="1">
          <x15:c>
            <x15:v>7624</x15:v>
          </x15:c>
        </x15:pivotRow>
        <x15:pivotRow count="1">
          <x15:c>
            <x15:v>7624</x15:v>
          </x15:c>
        </x15:pivotRow>
        <x15:pivotRow count="1">
          <x15:c>
            <x15:v>8279</x15:v>
          </x15:c>
        </x15:pivotRow>
        <x15:pivotRow count="1">
          <x15:c>
            <x15:v>10182</x15:v>
          </x15:c>
        </x15:pivotRow>
        <x15:pivotRow count="1">
          <x15:c>
            <x15:v>11519</x15:v>
          </x15:c>
        </x15:pivotRow>
        <x15:pivotRow count="1">
          <x15:c>
            <x15:v>10530</x15:v>
          </x15:c>
        </x15:pivotRow>
        <x15:pivotRow count="1">
          <x15:c>
            <x15:v>12262</x15:v>
          </x15:c>
        </x15:pivotRow>
        <x15:pivotRow count="1">
          <x15:c>
            <x15:v>12479</x15:v>
          </x15:c>
        </x15:pivotRow>
        <x15:pivotRow count="1">
          <x15:c>
            <x15:v>12797</x15:v>
          </x15:c>
        </x15:pivotRow>
        <x15:pivotRow count="1">
          <x15:c>
            <x15:v>11397</x15:v>
          </x15:c>
        </x15:pivotRow>
        <x15:pivotRow count="1">
          <x15:c>
            <x15:v>12096</x15:v>
          </x15:c>
        </x15:pivotRow>
        <x15:pivotRow count="1">
          <x15:c>
            <x15:v>11705</x15:v>
          </x15:c>
        </x15:pivotRow>
        <x15:pivotRow count="1">
          <x15:c>
            <x15:v>11590</x15:v>
          </x15:c>
        </x15:pivotRow>
        <x15:pivotRow count="1">
          <x15:c>
            <x15:v>10575</x15:v>
          </x15:c>
        </x15:pivotRow>
        <x15:pivotRow count="1">
          <x15:c>
            <x15:v>10308</x15:v>
          </x15:c>
        </x15:pivotRow>
        <x15:pivotRow count="1">
          <x15:c>
            <x15:v>10308</x15:v>
          </x15:c>
        </x15:pivotRow>
        <x15:pivotRow count="1">
          <x15:c>
            <x15:v>10308</x15:v>
          </x15:c>
        </x15:pivotRow>
        <x15:pivotRow count="1">
          <x15:c>
            <x15:v>10308</x15:v>
          </x15:c>
        </x15:pivotRow>
        <x15:pivotRow count="1">
          <x15:c>
            <x15:v>11308</x15:v>
          </x15:c>
        </x15:pivotRow>
        <x15:pivotRow count="1">
          <x15:c>
            <x15:v>11052</x15:v>
          </x15:c>
        </x15:pivotRow>
        <x15:pivotRow count="1">
          <x15:c>
            <x15:v>12462</x15:v>
          </x15:c>
        </x15:pivotRow>
        <x15:pivotRow count="1">
          <x15:c>
            <x15:v>12058</x15:v>
          </x15:c>
        </x15:pivotRow>
        <x15:pivotRow count="1">
          <x15:c>
            <x15:v>11250</x15:v>
          </x15:c>
        </x15:pivotRow>
        <x15:pivotRow count="1">
          <x15:c>
            <x15:v>11250</x15:v>
          </x15:c>
        </x15:pivotRow>
        <x15:pivotRow count="1">
          <x15:c>
            <x15:v>11250</x15:v>
          </x15:c>
        </x15:pivotRow>
        <x15:pivotRow count="1">
          <x15:c>
            <x15:v>11888</x15:v>
          </x15:c>
        </x15:pivotRow>
        <x15:pivotRow count="1">
          <x15:c>
            <x15:v>12050</x15:v>
          </x15:c>
        </x15:pivotRow>
        <x15:pivotRow count="1">
          <x15:c>
            <x15:v>11250</x15:v>
          </x15:c>
        </x15:pivotRow>
        <x15:pivotRow count="1">
          <x15:c>
            <x15:v>11250</x15:v>
          </x15:c>
        </x15:pivotRow>
        <x15:pivotRow count="1">
          <x15:c>
            <x15:v>11250</x15:v>
          </x15:c>
        </x15:pivotRow>
        <x15:pivotRow count="1">
          <x15:c>
            <x15:v>11250</x15:v>
          </x15:c>
        </x15:pivotRow>
        <x15:pivotRow count="1">
          <x15:c>
            <x15:v>642336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Totale]"/>
        <x15:activeTabTopLevelEntity name="[Termico]"/>
      </x15:pivotTableUISettings>
    </ext>
  </extLst>
</pivotTableDefinition>
</file>

<file path=xl/pivotTables/pivotTable6.xml><?xml version="1.0" encoding="utf-8"?>
<pivotTableDefinition xmlns="http://schemas.openxmlformats.org/spreadsheetml/2006/main" name="PivotChartTable5" cacheId="106" applyNumberFormats="0" applyBorderFormats="0" applyFontFormats="0" applyPatternFormats="0" applyAlignmentFormats="0" applyWidthHeightFormats="1" dataCaption="Valori" updatedVersion="5" minRefreshableVersion="3" useAutoFormatting="1" itemPrintTitles="1" createdVersion="5" indent="0" showEmptyRow="1" showEmptyCol="1" outline="1" outlineData="1" multipleFieldFilters="0" chartFormat="1">
  <location ref="A1:B63" firstHeaderRow="1" firstDataRow="1" firstDataCol="1"/>
  <pivotFields count="2">
    <pivotField axis="axisRow" allDrilled="1" showAll="0" dataSourceSort="1" defaultAttributeDrillState="1">
      <items count="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t="default"/>
      </items>
    </pivotField>
    <pivotField dataField="1" showAll="0"/>
  </pivotFields>
  <rowFields count="1">
    <field x="0"/>
  </rowFields>
  <rowItems count="6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 t="grand">
      <x/>
    </i>
  </rowItems>
  <colItems count="1">
    <i/>
  </colItems>
  <dataFields count="1">
    <dataField name="Somma di Pompaggi" fld="1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2" columnCount="1" cacheId="5">
        <x15:pivotRow count="1">
          <x15:c>
            <x15:v>1386</x15:v>
          </x15:c>
        </x15:pivotRow>
        <x15:pivotRow count="1">
          <x15:c>
            <x15:v>1257</x15:v>
          </x15:c>
        </x15:pivotRow>
        <x15:pivotRow count="1">
          <x15:c>
            <x15:v>1158</x15:v>
          </x15:c>
        </x15:pivotRow>
        <x15:pivotRow count="1">
          <x15:c>
            <x15:v>1433</x15:v>
          </x15:c>
        </x15:pivotRow>
        <x15:pivotRow count="1">
          <x15:c>
            <x15:v>1040</x15:v>
          </x15:c>
        </x15:pivotRow>
        <x15:pivotRow count="1">
          <x15:c>
            <x15:v>1183</x15:v>
          </x15:c>
        </x15:pivotRow>
        <x15:pivotRow count="1">
          <x15:c>
            <x15:v>870</x15:v>
          </x15:c>
        </x15:pivotRow>
        <x15:pivotRow count="1">
          <x15:c>
            <x15:v>870</x15:v>
          </x15:c>
        </x15:pivotRow>
        <x15:pivotRow count="1">
          <x15:c>
            <x15:v>2276</x15:v>
          </x15:c>
        </x15:pivotRow>
        <x15:pivotRow count="1">
          <x15:c>
            <x15:v>2298</x15:v>
          </x15:c>
        </x15:pivotRow>
        <x15:pivotRow count="1">
          <x15:c>
            <x15:v>2464</x15:v>
          </x15:c>
        </x15:pivotRow>
        <x15:pivotRow count="1">
          <x15:c>
            <x15:v>2619</x15:v>
          </x15:c>
        </x15:pivotRow>
        <x15:pivotRow count="1">
          <x15:c>
            <x15:v>2480</x15:v>
          </x15:c>
        </x15:pivotRow>
        <x15:pivotRow count="1">
          <x15:c>
            <x15:v>1753</x15:v>
          </x15:c>
        </x15:pivotRow>
        <x15:pivotRow count="1">
          <x15:c>
            <x15:v>1720</x15:v>
          </x15:c>
        </x15:pivotRow>
        <x15:pivotRow count="1">
          <x15:c>
            <x15:v>2092</x15:v>
          </x15:c>
        </x15:pivotRow>
        <x15:pivotRow count="1">
          <x15:c>
            <x15:v>2668</x15:v>
          </x15:c>
        </x15:pivotRow>
        <x15:pivotRow count="1">
          <x15:c>
            <x15:v>2337</x15:v>
          </x15:c>
        </x15:pivotRow>
        <x15:pivotRow count="1">
          <x15:c>
            <x15:v>1858</x15:v>
          </x15:c>
        </x15:pivotRow>
        <x15:pivotRow count="1">
          <x15:c>
            <x15:v>1792</x15:v>
          </x15:c>
        </x15:pivotRow>
        <x15:pivotRow count="1">
          <x15:c>
            <x15:v>1655</x15:v>
          </x15:c>
        </x15:pivotRow>
        <x15:pivotRow count="1">
          <x15:c>
            <x15:v>2077</x15:v>
          </x15:c>
        </x15:pivotRow>
        <x15:pivotRow count="1">
          <x15:c>
            <x15:v>1998</x15:v>
          </x15:c>
        </x15:pivotRow>
        <x15:pivotRow count="1">
          <x15:c>
            <x15:v>1566</x15:v>
          </x15:c>
        </x15:pivotRow>
        <x15:pivotRow count="1">
          <x15:c>
            <x15:v>1695</x15:v>
          </x15:c>
        </x15:pivotRow>
        <x15:pivotRow count="1">
          <x15:c>
            <x15:v>1558</x15:v>
          </x15:c>
        </x15:pivotRow>
        <x15:pivotRow count="1">
          <x15:c>
            <x15:v>1903</x15:v>
          </x15:c>
        </x15:pivotRow>
        <x15:pivotRow count="1">
          <x15:c>
            <x15:v>1448</x15:v>
          </x15:c>
        </x15:pivotRow>
        <x15:pivotRow count="1">
          <x15:c>
            <x15:v>1603</x15:v>
          </x15:c>
        </x15:pivotRow>
        <x15:pivotRow count="1">
          <x15:c>
            <x15:v>1414</x15:v>
          </x15:c>
        </x15:pivotRow>
        <x15:pivotRow count="1">
          <x15:c>
            <x15:v>1304</x15:v>
          </x15:c>
        </x15:pivotRow>
        <x15:pivotRow count="1">
          <x15:c>
            <x15:v>1796</x15:v>
          </x15:c>
        </x15:pivotRow>
        <x15:pivotRow count="1">
          <x15:c>
            <x15:v>1533</x15:v>
          </x15:c>
        </x15:pivotRow>
        <x15:pivotRow count="1">
          <x15:c>
            <x15:v>1657</x15:v>
          </x15:c>
        </x15:pivotRow>
        <x15:pivotRow count="1">
          <x15:c>
            <x15:v>1280</x15:v>
          </x15:c>
        </x15:pivotRow>
        <x15:pivotRow count="1">
          <x15:c>
            <x15:v>1488</x15:v>
          </x15:c>
        </x15:pivotRow>
        <x15:pivotRow count="1">
          <x15:c>
            <x15:v>1773</x15:v>
          </x15:c>
        </x15:pivotRow>
        <x15:pivotRow count="1">
          <x15:c>
            <x15:v>1713</x15:v>
          </x15:c>
        </x15:pivotRow>
        <x15:pivotRow count="1">
          <x15:c>
            <x15:v>2032</x15:v>
          </x15:c>
        </x15:pivotRow>
        <x15:pivotRow count="1">
          <x15:c>
            <x15:v>2020</x15:v>
          </x15:c>
        </x15:pivotRow>
        <x15:pivotRow count="1">
          <x15:c>
            <x15:v>1938</x15:v>
          </x15:c>
        </x15:pivotRow>
        <x15:pivotRow count="1">
          <x15:c>
            <x15:v>1694</x15:v>
          </x15:c>
        </x15:pivotRow>
        <x15:pivotRow count="1">
          <x15:c>
            <x15:v>1694</x15:v>
          </x15:c>
        </x15:pivotRow>
        <x15:pivotRow count="1">
          <x15:c>
            <x15:v>1971</x15:v>
          </x15:c>
        </x15:pivotRow>
        <x15:pivotRow count="1">
          <x15:c>
            <x15:v>2072</x15:v>
          </x15:c>
        </x15:pivotRow>
        <x15:pivotRow count="1">
          <x15:c>
            <x15:v>2093</x15:v>
          </x15:c>
        </x15:pivotRow>
        <x15:pivotRow count="1">
          <x15:c>
            <x15:v>1980</x15:v>
          </x15:c>
        </x15:pivotRow>
        <x15:pivotRow count="1">
          <x15:c>
            <x15:v>1637</x15:v>
          </x15:c>
        </x15:pivotRow>
        <x15:pivotRow count="1">
          <x15:c>
            <x15:v>740</x15:v>
          </x15:c>
        </x15:pivotRow>
        <x15:pivotRow count="1">
          <x15:c>
            <x15:v>740</x15:v>
          </x15:c>
        </x15:pivotRow>
        <x15:pivotRow count="1">
          <x15:c>
            <x15:v>862</x15:v>
          </x15:c>
        </x15:pivotRow>
        <x15:pivotRow count="1">
          <x15:c>
            <x15:v>862</x15:v>
          </x15:c>
        </x15:pivotRow>
        <x15:pivotRow count="1">
          <x15:c>
            <x15:v>862</x15:v>
          </x15:c>
        </x15:pivotRow>
        <x15:pivotRow count="1">
          <x15:c>
            <x15:v>862</x15:v>
          </x15:c>
        </x15:pivotRow>
        <x15:pivotRow count="1">
          <x15:c>
            <x15:v>862</x15:v>
          </x15:c>
        </x15:pivotRow>
        <x15:pivotRow count="1">
          <x15:c>
            <x15:v>619</x15:v>
          </x15:c>
        </x15:pivotRow>
        <x15:pivotRow count="1">
          <x15:c>
            <x15:v>619</x15:v>
          </x15:c>
        </x15:pivotRow>
        <x15:pivotRow count="1">
          <x15:c>
            <x15:v>619</x15:v>
          </x15:c>
        </x15:pivotRow>
        <x15:pivotRow count="1">
          <x15:c>
            <x15:v>619</x15:v>
          </x15:c>
        </x15:pivotRow>
        <x15:pivotRow count="1">
          <x15:c>
            <x15:v>502</x15:v>
          </x15:c>
        </x15:pivotRow>
        <x15:pivotRow count="1">
          <x15:c>
            <x15:v>502</x15:v>
          </x15:c>
        </x15:pivotRow>
        <x15:pivotRow count="1">
          <x15:c>
            <x15:v>93416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TotalePerZona]"/>
        <x15:activeTabTopLevelEntity name="[Pompaggi]"/>
        <x15:activeTabTopLevelEntity name="[Totale]"/>
      </x15:pivotTableUISettings>
    </ext>
  </extLst>
</pivotTableDefinition>
</file>

<file path=xl/pivotTables/pivotTable7.xml><?xml version="1.0" encoding="utf-8"?>
<pivotTableDefinition xmlns="http://schemas.openxmlformats.org/spreadsheetml/2006/main" name="PivotChartTable7" cacheId="64" applyNumberFormats="0" applyBorderFormats="0" applyFontFormats="0" applyPatternFormats="0" applyAlignmentFormats="0" applyWidthHeightFormats="1" dataCaption="Valori" updatedVersion="5" minRefreshableVersion="3" useAutoFormatting="1" itemPrintTitles="1" createdVersion="5" indent="0" showEmptyRow="1" showEmptyCol="1" outline="1" outlineData="1" multipleFieldFilters="0" chartFormat="2" fieldListSortAscending="1">
  <location ref="A1:E103" firstHeaderRow="1" firstDataRow="2" firstDataCol="1"/>
  <pivotFields count="4"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axis="axisRow" allDrilled="1" showAll="0" dataSourceSort="1" defaultAttributeDrillState="1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dataField="1" showAll="0"/>
    <pivotField axis="axisCol" allDrilled="1" showAll="0" dataSourceSort="1" defaultAttributeDrillState="1">
      <items count="4">
        <item x="0"/>
        <item x="1"/>
        <item x="2"/>
        <item t="default"/>
      </items>
    </pivotField>
  </pivotFields>
  <rowFields count="2">
    <field x="0"/>
    <field x="1"/>
  </rowFields>
  <rowItems count="101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dataFields count="1">
    <dataField name="Somma di remit_oraria" fld="2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0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4"/>
          </reference>
          <reference field="3" count="1" selected="0">
            <x v="1"/>
          </reference>
        </references>
      </pivotArea>
    </chartFormat>
  </chartFormats>
  <pivotHierarchies count="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2">
    <rowHierarchyUsage hierarchyUsage="9"/>
    <rowHierarchyUsage hierarchyUsage="10"/>
  </rowHierarchiesUsage>
  <colHierarchiesUsage count="1">
    <colHierarchyUsage hierarchyUsage="1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01" columnCount="4" cacheId="8">
        <x15:pivotRow count="4">
          <x15:c>
            <x15:v>17304</x15:v>
          </x15:c>
          <x15:c>
            <x15:v>57352</x15:v>
          </x15:c>
          <x15:c>
            <x15:v>288776</x15:v>
          </x15:c>
          <x15:c>
            <x15:v>363432</x15:v>
          </x15:c>
        </x15:pivotRow>
        <x15:pivotRow count="4">
          <x15:c>
            <x15:v>721</x15:v>
          </x15:c>
          <x15:c>
            <x15:v>2395</x15:v>
          </x15:c>
          <x15:c>
            <x15:v>12011</x15:v>
          </x15:c>
          <x15:c>
            <x15:v>15127</x15:v>
          </x15:c>
        </x15:pivotRow>
        <x15:pivotRow count="4">
          <x15:c>
            <x15:v>721</x15:v>
          </x15:c>
          <x15:c>
            <x15:v>2395</x15:v>
          </x15:c>
          <x15:c>
            <x15:v>12011</x15:v>
          </x15:c>
          <x15:c>
            <x15:v>15127</x15:v>
          </x15:c>
        </x15:pivotRow>
        <x15:pivotRow count="4">
          <x15:c>
            <x15:v>721</x15:v>
          </x15:c>
          <x15:c>
            <x15:v>2395</x15:v>
          </x15:c>
          <x15:c>
            <x15:v>12011</x15:v>
          </x15:c>
          <x15:c>
            <x15:v>15127</x15:v>
          </x15:c>
        </x15:pivotRow>
        <x15:pivotRow count="4">
          <x15:c>
            <x15:v>721</x15:v>
          </x15:c>
          <x15:c>
            <x15:v>2395</x15:v>
          </x15:c>
          <x15:c>
            <x15:v>12011</x15:v>
          </x15:c>
          <x15:c>
            <x15:v>15127</x15:v>
          </x15:c>
        </x15:pivotRow>
        <x15:pivotRow count="4">
          <x15:c>
            <x15:v>721</x15:v>
          </x15:c>
          <x15:c>
            <x15:v>2396</x15:v>
          </x15:c>
          <x15:c>
            <x15:v>12011</x15:v>
          </x15:c>
          <x15:c>
            <x15:v>15128</x15:v>
          </x15:c>
        </x15:pivotRow>
        <x15:pivotRow count="4">
          <x15:c>
            <x15:v>721</x15:v>
          </x15:c>
          <x15:c>
            <x15:v>2392</x15:v>
          </x15:c>
          <x15:c>
            <x15:v>12011</x15:v>
          </x15:c>
          <x15:c>
            <x15:v>15124</x15:v>
          </x15:c>
        </x15:pivotRow>
        <x15:pivotRow count="4">
          <x15:c>
            <x15:v>721</x15:v>
          </x15:c>
          <x15:c>
            <x15:v>2392</x15:v>
          </x15:c>
          <x15:c>
            <x15:v>12011</x15:v>
          </x15:c>
          <x15:c>
            <x15:v>15124</x15:v>
          </x15:c>
        </x15:pivotRow>
        <x15:pivotRow count="4">
          <x15:c>
            <x15:v>721</x15:v>
          </x15:c>
          <x15:c>
            <x15:v>2392</x15:v>
          </x15:c>
          <x15:c>
            <x15:v>12011</x15:v>
          </x15:c>
          <x15:c>
            <x15:v>15124</x15:v>
          </x15:c>
        </x15:pivotRow>
        <x15:pivotRow count="4">
          <x15:c>
            <x15:v>721</x15:v>
          </x15:c>
          <x15:c>
            <x15:v>2392</x15:v>
          </x15:c>
          <x15:c>
            <x15:v>12011</x15:v>
          </x15:c>
          <x15:c>
            <x15:v>15124</x15:v>
          </x15:c>
        </x15:pivotRow>
        <x15:pivotRow count="4">
          <x15:c>
            <x15:v>721</x15:v>
          </x15:c>
          <x15:c>
            <x15:v>2392</x15:v>
          </x15:c>
          <x15:c>
            <x15:v>12011</x15:v>
          </x15:c>
          <x15:c>
            <x15:v>15124</x15:v>
          </x15:c>
        </x15:pivotRow>
        <x15:pivotRow count="4">
          <x15:c>
            <x15:v>721</x15:v>
          </x15:c>
          <x15:c>
            <x15:v>2392</x15:v>
          </x15:c>
          <x15:c>
            <x15:v>12011</x15:v>
          </x15:c>
          <x15:c>
            <x15:v>15124</x15:v>
          </x15:c>
        </x15:pivotRow>
        <x15:pivotRow count="4">
          <x15:c>
            <x15:v>721</x15:v>
          </x15:c>
          <x15:c>
            <x15:v>2392</x15:v>
          </x15:c>
          <x15:c>
            <x15:v>12011</x15:v>
          </x15:c>
          <x15:c>
            <x15:v>15124</x15:v>
          </x15:c>
        </x15:pivotRow>
        <x15:pivotRow count="4">
          <x15:c>
            <x15:v>721</x15:v>
          </x15:c>
          <x15:c>
            <x15:v>2385</x15:v>
          </x15:c>
          <x15:c>
            <x15:v>12011</x15:v>
          </x15:c>
          <x15:c>
            <x15:v>15117</x15:v>
          </x15:c>
        </x15:pivotRow>
        <x15:pivotRow count="4">
          <x15:c>
            <x15:v>721</x15:v>
          </x15:c>
          <x15:c>
            <x15:v>2383</x15:v>
          </x15:c>
          <x15:c>
            <x15:v>12011</x15:v>
          </x15:c>
          <x15:c>
            <x15:v>15115</x15:v>
          </x15:c>
        </x15:pivotRow>
        <x15:pivotRow count="4">
          <x15:c>
            <x15:v>721</x15:v>
          </x15:c>
          <x15:c>
            <x15:v>2383</x15:v>
          </x15:c>
          <x15:c>
            <x15:v>12011</x15:v>
          </x15:c>
          <x15:c>
            <x15:v>15115</x15:v>
          </x15:c>
        </x15:pivotRow>
        <x15:pivotRow count="4">
          <x15:c>
            <x15:v>721</x15:v>
          </x15:c>
          <x15:c>
            <x15:v>2383</x15:v>
          </x15:c>
          <x15:c>
            <x15:v>12011</x15:v>
          </x15:c>
          <x15:c>
            <x15:v>15115</x15:v>
          </x15:c>
        </x15:pivotRow>
        <x15:pivotRow count="4">
          <x15:c>
            <x15:v>721</x15:v>
          </x15:c>
          <x15:c>
            <x15:v>2383</x15:v>
          </x15:c>
          <x15:c>
            <x15:v>12011</x15:v>
          </x15:c>
          <x15:c>
            <x15:v>15115</x15:v>
          </x15:c>
        </x15:pivotRow>
        <x15:pivotRow count="4">
          <x15:c>
            <x15:v>721</x15:v>
          </x15:c>
          <x15:c>
            <x15:v>2383</x15:v>
          </x15:c>
          <x15:c>
            <x15:v>12011</x15:v>
          </x15:c>
          <x15:c>
            <x15:v>15115</x15:v>
          </x15:c>
        </x15:pivotRow>
        <x15:pivotRow count="4">
          <x15:c>
            <x15:v>721</x15:v>
          </x15:c>
          <x15:c>
            <x15:v>2383</x15:v>
          </x15:c>
          <x15:c>
            <x15:v>12011</x15:v>
          </x15:c>
          <x15:c>
            <x15:v>15115</x15:v>
          </x15:c>
        </x15:pivotRow>
        <x15:pivotRow count="4">
          <x15:c>
            <x15:v>721</x15:v>
          </x15:c>
          <x15:c>
            <x15:v>2386</x15:v>
          </x15:c>
          <x15:c>
            <x15:v>12011</x15:v>
          </x15:c>
          <x15:c>
            <x15:v>15118</x15:v>
          </x15:c>
        </x15:pivotRow>
        <x15:pivotRow count="4">
          <x15:c>
            <x15:v>721</x15:v>
          </x15:c>
          <x15:c>
            <x15:v>2388</x15:v>
          </x15:c>
          <x15:c>
            <x15:v>12011</x15:v>
          </x15:c>
          <x15:c>
            <x15:v>15120</x15:v>
          </x15:c>
        </x15:pivotRow>
        <x15:pivotRow count="4">
          <x15:c>
            <x15:v>721</x15:v>
          </x15:c>
          <x15:c>
            <x15:v>2389</x15:v>
          </x15:c>
          <x15:c>
            <x15:v>12011</x15:v>
          </x15:c>
          <x15:c>
            <x15:v>15121</x15:v>
          </x15:c>
        </x15:pivotRow>
        <x15:pivotRow count="4">
          <x15:c>
            <x15:v>721</x15:v>
          </x15:c>
          <x15:c>
            <x15:v>2393</x15:v>
          </x15:c>
          <x15:c>
            <x15:v>12267</x15:v>
          </x15:c>
          <x15:c>
            <x15:v>15381</x15:v>
          </x15:c>
        </x15:pivotRow>
        <x15:pivotRow count="4">
          <x15:c>
            <x15:v>721</x15:v>
          </x15:c>
          <x15:c>
            <x15:v>2393</x15:v>
          </x15:c>
          <x15:c>
            <x15:v>12267</x15:v>
          </x15:c>
          <x15:c>
            <x15:v>15381</x15:v>
          </x15:c>
        </x15:pivotRow>
        <x15:pivotRow count="4">
          <x15:c>
            <x15:v>17304</x15:v>
          </x15:c>
          <x15:c>
            <x15:v>57333</x15:v>
          </x15:c>
          <x15:c>
            <x15:v>291648</x15:v>
          </x15:c>
          <x15:c>
            <x15:v>366285</x15:v>
          </x15:c>
        </x15:pivotRow>
        <x15:pivotRow count="4">
          <x15:c>
            <x15:v>721</x15:v>
          </x15:c>
          <x15:c>
            <x15:v>2395</x15:v>
          </x15:c>
          <x15:c>
            <x15:v>12152</x15:v>
          </x15:c>
          <x15:c>
            <x15:v>15268</x15:v>
          </x15:c>
        </x15:pivotRow>
        <x15:pivotRow count="4">
          <x15:c>
            <x15:v>721</x15:v>
          </x15:c>
          <x15:c>
            <x15:v>2395</x15:v>
          </x15:c>
          <x15:c>
            <x15:v>12152</x15:v>
          </x15:c>
          <x15:c>
            <x15:v>15268</x15:v>
          </x15:c>
        </x15:pivotRow>
        <x15:pivotRow count="4">
          <x15:c>
            <x15:v>721</x15:v>
          </x15:c>
          <x15:c>
            <x15:v>2395</x15:v>
          </x15:c>
          <x15:c>
            <x15:v>12152</x15:v>
          </x15:c>
          <x15:c>
            <x15:v>15268</x15:v>
          </x15:c>
        </x15:pivotRow>
        <x15:pivotRow count="4">
          <x15:c>
            <x15:v>721</x15:v>
          </x15:c>
          <x15:c>
            <x15:v>2395</x15:v>
          </x15:c>
          <x15:c>
            <x15:v>12152</x15:v>
          </x15:c>
          <x15:c>
            <x15:v>15268</x15:v>
          </x15:c>
        </x15:pivotRow>
        <x15:pivotRow count="4">
          <x15:c>
            <x15:v>721</x15:v>
          </x15:c>
          <x15:c>
            <x15:v>2393</x15:v>
          </x15:c>
          <x15:c>
            <x15:v>12152</x15:v>
          </x15:c>
          <x15:c>
            <x15:v>15266</x15:v>
          </x15:c>
        </x15:pivotRow>
        <x15:pivotRow count="4">
          <x15:c>
            <x15:v>721</x15:v>
          </x15:c>
          <x15:c>
            <x15:v>2392</x15:v>
          </x15:c>
          <x15:c>
            <x15:v>12152</x15:v>
          </x15:c>
          <x15:c>
            <x15:v>15265</x15:v>
          </x15:c>
        </x15:pivotRow>
        <x15:pivotRow count="4">
          <x15:c>
            <x15:v>721</x15:v>
          </x15:c>
          <x15:c>
            <x15:v>2392</x15:v>
          </x15:c>
          <x15:c>
            <x15:v>12152</x15:v>
          </x15:c>
          <x15:c>
            <x15:v>15265</x15:v>
          </x15:c>
        </x15:pivotRow>
        <x15:pivotRow count="4">
          <x15:c>
            <x15:v>721</x15:v>
          </x15:c>
          <x15:c>
            <x15:v>2392</x15:v>
          </x15:c>
          <x15:c>
            <x15:v>12152</x15:v>
          </x15:c>
          <x15:c>
            <x15:v>15265</x15:v>
          </x15:c>
        </x15:pivotRow>
        <x15:pivotRow count="4">
          <x15:c>
            <x15:v>721</x15:v>
          </x15:c>
          <x15:c>
            <x15:v>2388</x15:v>
          </x15:c>
          <x15:c>
            <x15:v>12152</x15:v>
          </x15:c>
          <x15:c>
            <x15:v>15261</x15:v>
          </x15:c>
        </x15:pivotRow>
        <x15:pivotRow count="4">
          <x15:c>
            <x15:v>721</x15:v>
          </x15:c>
          <x15:c>
            <x15:v>2388</x15:v>
          </x15:c>
          <x15:c>
            <x15:v>12152</x15:v>
          </x15:c>
          <x15:c>
            <x15:v>15261</x15:v>
          </x15:c>
        </x15:pivotRow>
        <x15:pivotRow count="4">
          <x15:c>
            <x15:v>721</x15:v>
          </x15:c>
          <x15:c>
            <x15:v>2388</x15:v>
          </x15:c>
          <x15:c>
            <x15:v>12152</x15:v>
          </x15:c>
          <x15:c>
            <x15:v>15261</x15:v>
          </x15:c>
        </x15:pivotRow>
        <x15:pivotRow count="4">
          <x15:c>
            <x15:v>721</x15:v>
          </x15:c>
          <x15:c>
            <x15:v>2388</x15:v>
          </x15:c>
          <x15:c>
            <x15:v>12152</x15:v>
          </x15:c>
          <x15:c>
            <x15:v>15261</x15:v>
          </x15:c>
        </x15:pivotRow>
        <x15:pivotRow count="4">
          <x15:c>
            <x15:v>721</x15:v>
          </x15:c>
          <x15:c>
            <x15:v>2385</x15:v>
          </x15:c>
          <x15:c>
            <x15:v>12152</x15:v>
          </x15:c>
          <x15:c>
            <x15:v>15258</x15:v>
          </x15:c>
        </x15:pivotRow>
        <x15:pivotRow count="4">
          <x15:c>
            <x15:v>721</x15:v>
          </x15:c>
          <x15:c>
            <x15:v>2383</x15:v>
          </x15:c>
          <x15:c>
            <x15:v>12152</x15:v>
          </x15:c>
          <x15:c>
            <x15:v>15256</x15:v>
          </x15:c>
        </x15:pivotRow>
        <x15:pivotRow count="4">
          <x15:c>
            <x15:v>721</x15:v>
          </x15:c>
          <x15:c>
            <x15:v>2383</x15:v>
          </x15:c>
          <x15:c>
            <x15:v>12152</x15:v>
          </x15:c>
          <x15:c>
            <x15:v>15256</x15:v>
          </x15:c>
        </x15:pivotRow>
        <x15:pivotRow count="4">
          <x15:c>
            <x15:v>721</x15:v>
          </x15:c>
          <x15:c>
            <x15:v>2383</x15:v>
          </x15:c>
          <x15:c>
            <x15:v>12152</x15:v>
          </x15:c>
          <x15:c>
            <x15:v>15256</x15:v>
          </x15:c>
        </x15:pivotRow>
        <x15:pivotRow count="4">
          <x15:c>
            <x15:v>721</x15:v>
          </x15:c>
          <x15:c>
            <x15:v>2383</x15:v>
          </x15:c>
          <x15:c>
            <x15:v>12152</x15:v>
          </x15:c>
          <x15:c>
            <x15:v>15256</x15:v>
          </x15:c>
        </x15:pivotRow>
        <x15:pivotRow count="4">
          <x15:c>
            <x15:v>721</x15:v>
          </x15:c>
          <x15:c>
            <x15:v>2383</x15:v>
          </x15:c>
          <x15:c>
            <x15:v>12152</x15:v>
          </x15:c>
          <x15:c>
            <x15:v>15256</x15:v>
          </x15:c>
        </x15:pivotRow>
        <x15:pivotRow count="4">
          <x15:c>
            <x15:v>721</x15:v>
          </x15:c>
          <x15:c>
            <x15:v>2383</x15:v>
          </x15:c>
          <x15:c>
            <x15:v>12152</x15:v>
          </x15:c>
          <x15:c>
            <x15:v>15256</x15:v>
          </x15:c>
        </x15:pivotRow>
        <x15:pivotRow count="4">
          <x15:c>
            <x15:v>721</x15:v>
          </x15:c>
          <x15:c>
            <x15:v>2386</x15:v>
          </x15:c>
          <x15:c>
            <x15:v>12152</x15:v>
          </x15:c>
          <x15:c>
            <x15:v>15259</x15:v>
          </x15:c>
        </x15:pivotRow>
        <x15:pivotRow count="4">
          <x15:c>
            <x15:v>721</x15:v>
          </x15:c>
          <x15:c>
            <x15:v>2388</x15:v>
          </x15:c>
          <x15:c>
            <x15:v>12152</x15:v>
          </x15:c>
          <x15:c>
            <x15:v>15261</x15:v>
          </x15:c>
        </x15:pivotRow>
        <x15:pivotRow count="4">
          <x15:c>
            <x15:v>721</x15:v>
          </x15:c>
          <x15:c>
            <x15:v>2389</x15:v>
          </x15:c>
          <x15:c>
            <x15:v>12152</x15:v>
          </x15:c>
          <x15:c>
            <x15:v>15262</x15:v>
          </x15:c>
        </x15:pivotRow>
        <x15:pivotRow count="4">
          <x15:c>
            <x15:v>721</x15:v>
          </x15:c>
          <x15:c>
            <x15:v>2393</x15:v>
          </x15:c>
          <x15:c>
            <x15:v>12152</x15:v>
          </x15:c>
          <x15:c>
            <x15:v>15266</x15:v>
          </x15:c>
        </x15:pivotRow>
        <x15:pivotRow count="4">
          <x15:c>
            <x15:v>721</x15:v>
          </x15:c>
          <x15:c>
            <x15:v>2393</x15:v>
          </x15:c>
          <x15:c>
            <x15:v>12152</x15:v>
          </x15:c>
          <x15:c>
            <x15:v>15266</x15:v>
          </x15:c>
        </x15:pivotRow>
        <x15:pivotRow count="4">
          <x15:c>
            <x15:v>22366</x15:v>
          </x15:c>
          <x15:c>
            <x15:v>53312</x15:v>
          </x15:c>
          <x15:c>
            <x15:v>273684</x15:v>
          </x15:c>
          <x15:c>
            <x15:v>349362</x15:v>
          </x15:c>
        </x15:pivotRow>
        <x15:pivotRow count="4">
          <x15:c>
            <x15:v>721</x15:v>
          </x15:c>
          <x15:c>
            <x15:v>1722</x15:v>
          </x15:c>
          <x15:c>
            <x15:v>11537</x15:v>
          </x15:c>
          <x15:c>
            <x15:v>13980</x15:v>
          </x15:c>
        </x15:pivotRow>
        <x15:pivotRow count="4">
          <x15:c>
            <x15:v>721</x15:v>
          </x15:c>
          <x15:c>
            <x15:v>1722</x15:v>
          </x15:c>
          <x15:c>
            <x15:v>11537</x15:v>
          </x15:c>
          <x15:c>
            <x15:v>13980</x15:v>
          </x15:c>
        </x15:pivotRow>
        <x15:pivotRow count="4">
          <x15:c>
            <x15:v>831</x15:v>
          </x15:c>
          <x15:c>
            <x15:v>1722</x15:v>
          </x15:c>
          <x15:c>
            <x15:v>11537</x15:v>
          </x15:c>
          <x15:c>
            <x15:v>14090</x15:v>
          </x15:c>
        </x15:pivotRow>
        <x15:pivotRow count="4">
          <x15:c>
            <x15:v>831</x15:v>
          </x15:c>
          <x15:c>
            <x15:v>1722</x15:v>
          </x15:c>
          <x15:c>
            <x15:v>11537</x15:v>
          </x15:c>
          <x15:c>
            <x15:v>14090</x15:v>
          </x15:c>
        </x15:pivotRow>
        <x15:pivotRow count="4">
          <x15:c>
            <x15:v>831</x15:v>
          </x15:c>
          <x15:c>
            <x15:v>1722</x15:v>
          </x15:c>
          <x15:c>
            <x15:v>11537</x15:v>
          </x15:c>
          <x15:c>
            <x15:v>14090</x15:v>
          </x15:c>
        </x15:pivotRow>
        <x15:pivotRow count="4">
          <x15:c>
            <x15:v>831</x15:v>
          </x15:c>
          <x15:c>
            <x15:v>1722</x15:v>
          </x15:c>
          <x15:c>
            <x15:v>11537</x15:v>
          </x15:c>
          <x15:c>
            <x15:v>14090</x15:v>
          </x15:c>
        </x15:pivotRow>
        <x15:pivotRow count="4">
          <x15:c>
            <x15:v>831</x15:v>
          </x15:c>
          <x15:c>
            <x15:v>1722</x15:v>
          </x15:c>
          <x15:c>
            <x15:v>11537</x15:v>
          </x15:c>
          <x15:c>
            <x15:v>14090</x15:v>
          </x15:c>
        </x15:pivotRow>
        <x15:pivotRow count="4">
          <x15:c>
            <x15:v>1077</x15:v>
          </x15:c>
          <x15:c>
            <x15:v>1722</x15:v>
          </x15:c>
          <x15:c>
            <x15:v>11537</x15:v>
          </x15:c>
          <x15:c>
            <x15:v>14336</x15:v>
          </x15:c>
        </x15:pivotRow>
        <x15:pivotRow count="4">
          <x15:c>
            <x15:v>1077</x15:v>
          </x15:c>
          <x15:c>
            <x15:v>2471</x15:v>
          </x15:c>
          <x15:c>
            <x15:v>11537</x15:v>
          </x15:c>
          <x15:c>
            <x15:v>15085</x15:v>
          </x15:c>
        </x15:pivotRow>
        <x15:pivotRow count="4">
          <x15:c>
            <x15:v>967</x15:v>
          </x15:c>
          <x15:c>
            <x15:v>2471</x15:v>
          </x15:c>
          <x15:c>
            <x15:v>11537</x15:v>
          </x15:c>
          <x15:c>
            <x15:v>14975</x15:v>
          </x15:c>
        </x15:pivotRow>
        <x15:pivotRow count="4">
          <x15:c>
            <x15:v>967</x15:v>
          </x15:c>
          <x15:c>
            <x15:v>2471</x15:v>
          </x15:c>
          <x15:c>
            <x15:v>11537</x15:v>
          </x15:c>
          <x15:c>
            <x15:v>14975</x15:v>
          </x15:c>
        </x15:pivotRow>
        <x15:pivotRow count="4">
          <x15:c>
            <x15:v>967</x15:v>
          </x15:c>
          <x15:c>
            <x15:v>2471</x15:v>
          </x15:c>
          <x15:c>
            <x15:v>11537</x15:v>
          </x15:c>
          <x15:c>
            <x15:v>14975</x15:v>
          </x15:c>
        </x15:pivotRow>
        <x15:pivotRow count="4">
          <x15:c>
            <x15:v>967</x15:v>
          </x15:c>
          <x15:c>
            <x15:v>2471</x15:v>
          </x15:c>
          <x15:c>
            <x15:v>11270</x15:v>
          </x15:c>
          <x15:c>
            <x15:v>14708</x15:v>
          </x15:c>
        </x15:pivotRow>
        <x15:pivotRow count="4">
          <x15:c>
            <x15:v>967</x15:v>
          </x15:c>
          <x15:c>
            <x15:v>2471</x15:v>
          </x15:c>
          <x15:c>
            <x15:v>11270</x15:v>
          </x15:c>
          <x15:c>
            <x15:v>14708</x15:v>
          </x15:c>
        </x15:pivotRow>
        <x15:pivotRow count="4">
          <x15:c>
            <x15:v>967</x15:v>
          </x15:c>
          <x15:c>
            <x15:v>2471</x15:v>
          </x15:c>
          <x15:c>
            <x15:v>11270</x15:v>
          </x15:c>
          <x15:c>
            <x15:v>14708</x15:v>
          </x15:c>
        </x15:pivotRow>
        <x15:pivotRow count="4">
          <x15:c>
            <x15:v>967</x15:v>
          </x15:c>
          <x15:c>
            <x15:v>2471</x15:v>
          </x15:c>
          <x15:c>
            <x15:v>11270</x15:v>
          </x15:c>
          <x15:c>
            <x15:v>14708</x15:v>
          </x15:c>
        </x15:pivotRow>
        <x15:pivotRow count="4">
          <x15:c>
            <x15:v>967</x15:v>
          </x15:c>
          <x15:c>
            <x15:v>2471</x15:v>
          </x15:c>
          <x15:c>
            <x15:v>11270</x15:v>
          </x15:c>
          <x15:c>
            <x15:v>14708</x15:v>
          </x15:c>
        </x15:pivotRow>
        <x15:pivotRow count="4">
          <x15:c>
            <x15:v>967</x15:v>
          </x15:c>
          <x15:c>
            <x15:v>2471</x15:v>
          </x15:c>
          <x15:c>
            <x15:v>11270</x15:v>
          </x15:c>
          <x15:c>
            <x15:v>14708</x15:v>
          </x15:c>
        </x15:pivotRow>
        <x15:pivotRow count="4">
          <x15:c>
            <x15:v>967</x15:v>
          </x15:c>
          <x15:c>
            <x15:v>2471</x15:v>
          </x15:c>
          <x15:c>
            <x15:v>11270</x15:v>
          </x15:c>
          <x15:c>
            <x15:v>14708</x15:v>
          </x15:c>
        </x15:pivotRow>
        <x15:pivotRow count="4">
          <x15:c>
            <x15:v>967</x15:v>
          </x15:c>
          <x15:c>
            <x15:v>2471</x15:v>
          </x15:c>
          <x15:c>
            <x15:v>11270</x15:v>
          </x15:c>
          <x15:c>
            <x15:v>14708</x15:v>
          </x15:c>
        </x15:pivotRow>
        <x15:pivotRow count="4">
          <x15:c>
            <x15:v>967</x15:v>
          </x15:c>
          <x15:c>
            <x15:v>2471</x15:v>
          </x15:c>
          <x15:c>
            <x15:v>11270</x15:v>
          </x15:c>
          <x15:c>
            <x15:v>14708</x15:v>
          </x15:c>
        </x15:pivotRow>
        <x15:pivotRow count="4">
          <x15:c>
            <x15:v>967</x15:v>
          </x15:c>
          <x15:c>
            <x15:v>2471</x15:v>
          </x15:c>
          <x15:c>
            <x15:v>11270</x15:v>
          </x15:c>
          <x15:c>
            <x15:v>14708</x15:v>
          </x15:c>
        </x15:pivotRow>
        <x15:pivotRow count="4">
          <x15:c>
            <x15:v>967</x15:v>
          </x15:c>
          <x15:c>
            <x15:v>2471</x15:v>
          </x15:c>
          <x15:c>
            <x15:v>11270</x15:v>
          </x15:c>
          <x15:c>
            <x15:v>14708</x15:v>
          </x15:c>
        </x15:pivotRow>
        <x15:pivotRow count="4">
          <x15:c>
            <x15:v>1077</x15:v>
          </x15:c>
          <x15:c>
            <x15:v>2471</x15:v>
          </x15:c>
          <x15:c>
            <x15:v>11270</x15:v>
          </x15:c>
          <x15:c>
            <x15:v>14818</x15:v>
          </x15:c>
        </x15:pivotRow>
        <x15:pivotRow count="4">
          <x15:c>
            <x15:v>23160</x15:v>
          </x15:c>
          <x15:c>
            <x15:v>61739</x15:v>
          </x15:c>
          <x15:c>
            <x15:v>270480</x15:v>
          </x15:c>
          <x15:c>
            <x15:v>355379</x15:v>
          </x15:c>
        </x15:pivotRow>
        <x15:pivotRow count="4">
          <x15:c>
            <x15:v>1077</x15:v>
          </x15:c>
          <x15:c>
            <x15:v>2471</x15:v>
          </x15:c>
          <x15:c>
            <x15:v>11270</x15:v>
          </x15:c>
          <x15:c>
            <x15:v>14818</x15:v>
          </x15:c>
        </x15:pivotRow>
        <x15:pivotRow count="4">
          <x15:c>
            <x15:v>1077</x15:v>
          </x15:c>
          <x15:c>
            <x15:v>2471</x15:v>
          </x15:c>
          <x15:c>
            <x15:v>11270</x15:v>
          </x15:c>
          <x15:c>
            <x15:v>14818</x15:v>
          </x15:c>
        </x15:pivotRow>
        <x15:pivotRow count="4">
          <x15:c>
            <x15:v>1077</x15:v>
          </x15:c>
          <x15:c>
            <x15:v>2471</x15:v>
          </x15:c>
          <x15:c>
            <x15:v>11270</x15:v>
          </x15:c>
          <x15:c>
            <x15:v>14818</x15:v>
          </x15:c>
        </x15:pivotRow>
        <x15:pivotRow count="4">
          <x15:c>
            <x15:v>1077</x15:v>
          </x15:c>
          <x15:c>
            <x15:v>2471</x15:v>
          </x15:c>
          <x15:c>
            <x15:v>11270</x15:v>
          </x15:c>
          <x15:c>
            <x15:v>14818</x15:v>
          </x15:c>
        </x15:pivotRow>
        <x15:pivotRow count="4">
          <x15:c>
            <x15:v>1077</x15:v>
          </x15:c>
          <x15:c>
            <x15:v>2471</x15:v>
          </x15:c>
          <x15:c>
            <x15:v>11270</x15:v>
          </x15:c>
          <x15:c>
            <x15:v>14818</x15:v>
          </x15:c>
        </x15:pivotRow>
        <x15:pivotRow count="4">
          <x15:c>
            <x15:v>1077</x15:v>
          </x15:c>
          <x15:c>
            <x15:v>2471</x15:v>
          </x15:c>
          <x15:c>
            <x15:v>11270</x15:v>
          </x15:c>
          <x15:c>
            <x15:v>14818</x15:v>
          </x15:c>
        </x15:pivotRow>
        <x15:pivotRow count="4">
          <x15:c>
            <x15:v>1077</x15:v>
          </x15:c>
          <x15:c>
            <x15:v>2471</x15:v>
          </x15:c>
          <x15:c>
            <x15:v>11270</x15:v>
          </x15:c>
          <x15:c>
            <x15:v>14818</x15:v>
          </x15:c>
        </x15:pivotRow>
        <x15:pivotRow count="4">
          <x15:c>
            <x15:v>1077</x15:v>
          </x15:c>
          <x15:c>
            <x15:v>2471</x15:v>
          </x15:c>
          <x15:c>
            <x15:v>11270</x15:v>
          </x15:c>
          <x15:c>
            <x15:v>14818</x15:v>
          </x15:c>
        </x15:pivotRow>
        <x15:pivotRow count="4">
          <x15:c>
            <x15:v>1077</x15:v>
          </x15:c>
          <x15:c>
            <x15:v>2662</x15:v>
          </x15:c>
          <x15:c>
            <x15:v>11270</x15:v>
          </x15:c>
          <x15:c>
            <x15:v>15009</x15:v>
          </x15:c>
        </x15:pivotRow>
        <x15:pivotRow count="4">
          <x15:c>
            <x15:v>967</x15:v>
          </x15:c>
          <x15:c>
            <x15:v>2662</x15:v>
          </x15:c>
          <x15:c>
            <x15:v>11270</x15:v>
          </x15:c>
          <x15:c>
            <x15:v>14899</x15:v>
          </x15:c>
        </x15:pivotRow>
        <x15:pivotRow count="4">
          <x15:c>
            <x15:v>967</x15:v>
          </x15:c>
          <x15:c>
            <x15:v>2662</x15:v>
          </x15:c>
          <x15:c>
            <x15:v>11270</x15:v>
          </x15:c>
          <x15:c>
            <x15:v>14899</x15:v>
          </x15:c>
        </x15:pivotRow>
        <x15:pivotRow count="4">
          <x15:c>
            <x15:v>967</x15:v>
          </x15:c>
          <x15:c>
            <x15:v>2662</x15:v>
          </x15:c>
          <x15:c>
            <x15:v>11270</x15:v>
          </x15:c>
          <x15:c>
            <x15:v>14899</x15:v>
          </x15:c>
        </x15:pivotRow>
        <x15:pivotRow count="4">
          <x15:c>
            <x15:v>967</x15:v>
          </x15:c>
          <x15:c>
            <x15:v>2662</x15:v>
          </x15:c>
          <x15:c>
            <x15:v>11270</x15:v>
          </x15:c>
          <x15:c>
            <x15:v>14899</x15:v>
          </x15:c>
        </x15:pivotRow>
        <x15:pivotRow count="4">
          <x15:c>
            <x15:v>967</x15:v>
          </x15:c>
          <x15:c>
            <x15:v>2662</x15:v>
          </x15:c>
          <x15:c>
            <x15:v>11270</x15:v>
          </x15:c>
          <x15:c>
            <x15:v>14899</x15:v>
          </x15:c>
        </x15:pivotRow>
        <x15:pivotRow count="4">
          <x15:c>
            <x15:v>967</x15:v>
          </x15:c>
          <x15:c>
            <x15:v>2662</x15:v>
          </x15:c>
          <x15:c>
            <x15:v>11270</x15:v>
          </x15:c>
          <x15:c>
            <x15:v>14899</x15:v>
          </x15:c>
        </x15:pivotRow>
        <x15:pivotRow count="4">
          <x15:c>
            <x15:v>967</x15:v>
          </x15:c>
          <x15:c>
            <x15:v>2593</x15:v>
          </x15:c>
          <x15:c>
            <x15:v>11270</x15:v>
          </x15:c>
          <x15:c>
            <x15:v>14830</x15:v>
          </x15:c>
        </x15:pivotRow>
        <x15:pivotRow count="4">
          <x15:c>
            <x15:v>967</x15:v>
          </x15:c>
          <x15:c>
            <x15:v>2593</x15:v>
          </x15:c>
          <x15:c>
            <x15:v>11270</x15:v>
          </x15:c>
          <x15:c>
            <x15:v>14830</x15:v>
          </x15:c>
        </x15:pivotRow>
        <x15:pivotRow count="4">
          <x15:c>
            <x15:v>803</x15:v>
          </x15:c>
          <x15:c>
            <x15:v>2593</x15:v>
          </x15:c>
          <x15:c>
            <x15:v>11270</x15:v>
          </x15:c>
          <x15:c>
            <x15:v>14666</x15:v>
          </x15:c>
        </x15:pivotRow>
        <x15:pivotRow count="4">
          <x15:c>
            <x15:v>803</x15:v>
          </x15:c>
          <x15:c>
            <x15:v>2593</x15:v>
          </x15:c>
          <x15:c>
            <x15:v>11270</x15:v>
          </x15:c>
          <x15:c>
            <x15:v>14666</x15:v>
          </x15:c>
        </x15:pivotRow>
        <x15:pivotRow count="4">
          <x15:c>
            <x15:v>803</x15:v>
          </x15:c>
          <x15:c>
            <x15:v>2593</x15:v>
          </x15:c>
          <x15:c>
            <x15:v>11270</x15:v>
          </x15:c>
          <x15:c>
            <x15:v>14666</x15:v>
          </x15:c>
        </x15:pivotRow>
        <x15:pivotRow count="4">
          <x15:c>
            <x15:v>803</x15:v>
          </x15:c>
          <x15:c>
            <x15:v>2593</x15:v>
          </x15:c>
          <x15:c>
            <x15:v>11270</x15:v>
          </x15:c>
          <x15:c>
            <x15:v>14666</x15:v>
          </x15:c>
        </x15:pivotRow>
        <x15:pivotRow count="4">
          <x15:c>
            <x15:v>803</x15:v>
          </x15:c>
          <x15:c>
            <x15:v>2593</x15:v>
          </x15:c>
          <x15:c>
            <x15:v>11270</x15:v>
          </x15:c>
          <x15:c>
            <x15:v>14666</x15:v>
          </x15:c>
        </x15:pivotRow>
        <x15:pivotRow count="4">
          <x15:c>
            <x15:v>803</x15:v>
          </x15:c>
          <x15:c>
            <x15:v>2593</x15:v>
          </x15:c>
          <x15:c>
            <x15:v>11270</x15:v>
          </x15:c>
          <x15:c>
            <x15:v>14666</x15:v>
          </x15:c>
        </x15:pivotRow>
        <x15:pivotRow count="4">
          <x15:c>
            <x15:v>913</x15:v>
          </x15:c>
          <x15:c>
            <x15:v>2593</x15:v>
          </x15:c>
          <x15:c>
            <x15:v>11270</x15:v>
          </x15:c>
          <x15:c>
            <x15:v>14776</x15:v>
          </x15:c>
        </x15:pivotRow>
        <x15:pivotRow count="4">
          <x15:c>
            <x15:v>80134</x15:v>
          </x15:c>
          <x15:c>
            <x15:v>229736</x15:v>
          </x15:c>
          <x15:c>
            <x15:v>1124588</x15:v>
          </x15:c>
          <x15:c>
            <x15:v>1434458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Oraria]"/>
      </x15:pivotTableUISettings>
    </ext>
  </extLst>
</pivotTableDefinition>
</file>

<file path=xl/pivotTables/pivotTable8.xml><?xml version="1.0" encoding="utf-8"?>
<pivotTableDefinition xmlns="http://schemas.openxmlformats.org/spreadsheetml/2006/main" name="PivotChartTable8" cacheId="67" applyNumberFormats="0" applyBorderFormats="0" applyFontFormats="0" applyPatternFormats="0" applyAlignmentFormats="0" applyWidthHeightFormats="1" dataCaption="Valori" updatedVersion="5" minRefreshableVersion="3" useAutoFormatting="1" itemPrintTitles="1" createdVersion="5" indent="0" outline="1" outlineData="1" multipleFieldFilters="0" chartFormat="1">
  <location ref="A1:E8" firstHeaderRow="1" firstDataRow="2" firstDataCol="1"/>
  <pivotFields count="3"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axis="axisCol" allDrilled="1" showAll="0" dataSourceSort="1" defaultAttributeDrillState="1">
      <items count="4">
        <item x="0"/>
        <item x="1"/>
        <item x="2"/>
        <item t="default"/>
      </items>
    </pivotField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Somma di remit" fld="2" baseField="0" baseItem="0"/>
  </dataFields>
  <chartFormats count="5">
    <chartFormat chart="0" format="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Hierarchies count="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3"/>
  </rowHierarchiesUsage>
  <colHierarchiesUsage count="1">
    <colHierarchyUsage hierarchyUsage="4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" columnCount="4" cacheId="9">
        <x15:pivotRow count="4">
          <x15:c>
            <x15:v>147</x15:v>
          </x15:c>
          <x15:c>
            <x15:v>1694</x15:v>
          </x15:c>
          <x15:c>
            <x15:v>11705</x15:v>
          </x15:c>
          <x15:c>
            <x15:v>13546</x15:v>
          </x15:c>
        </x15:pivotRow>
        <x15:pivotRow count="4">
          <x15:c>
            <x15:v>147</x15:v>
          </x15:c>
          <x15:c>
            <x15:v>1694</x15:v>
          </x15:c>
          <x15:c>
            <x15:v>11590</x15:v>
          </x15:c>
          <x15:c>
            <x15:v>13431</x15:v>
          </x15:c>
        </x15:pivotRow>
        <x15:pivotRow count="4">
          <x15:c>
            <x15:v>257</x15:v>
          </x15:c>
          <x15:c>
            <x15:v>1971</x15:v>
          </x15:c>
          <x15:c>
            <x15:v>10575</x15:v>
          </x15:c>
          <x15:c>
            <x15:v>12803</x15:v>
          </x15:c>
        </x15:pivotRow>
        <x15:pivotRow count="4">
          <x15:c>
            <x15:v>257</x15:v>
          </x15:c>
          <x15:c>
            <x15:v>2072</x15:v>
          </x15:c>
          <x15:c>
            <x15:v>10308</x15:v>
          </x15:c>
          <x15:c>
            <x15:v>12637</x15:v>
          </x15:c>
        </x15:pivotRow>
        <x15:pivotRow count="4">
          <x15:c>
            <x15:v>310</x15:v>
          </x15:c>
          <x15:c>
            <x15:v>2093</x15:v>
          </x15:c>
          <x15:c>
            <x15:v>10308</x15:v>
          </x15:c>
          <x15:c>
            <x15:v>12711</x15:v>
          </x15:c>
        </x15:pivotRow>
        <x15:pivotRow count="4">
          <x15:c>
            <x15:v>1118</x15:v>
          </x15:c>
          <x15:c>
            <x15:v>9524</x15:v>
          </x15:c>
          <x15:c>
            <x15:v>54486</x15:v>
          </x15:c>
          <x15:c>
            <x15:v>65128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Giornaliera]"/>
      </x15:pivotTableUISettings>
    </ext>
  </extLst>
</pivotTableDefinition>
</file>

<file path=xl/tables/table1.xml><?xml version="1.0" encoding="utf-8"?>
<table xmlns="http://schemas.openxmlformats.org/spreadsheetml/2006/main" id="1" name="select_date_month" displayName="select_date_month" ref="R3:S4" totalsRowShown="0" headerRowDxfId="17" headerRowBorderDxfId="16" tableBorderDxfId="15" totalsRowBorderDxfId="14">
  <tableColumns count="2">
    <tableColumn id="1" name="start" dataDxfId="1"/>
    <tableColumn id="2" name="end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elect_date_day" displayName="select_date_day" ref="R8:S9" totalsRowShown="0" headerRowDxfId="13" headerRowBorderDxfId="12" tableBorderDxfId="11" totalsRowBorderDxfId="10">
  <tableColumns count="2">
    <tableColumn id="1" name="start" dataDxfId="9">
      <calculatedColumnFormula>TODAY()-1</calculatedColumnFormula>
    </tableColumn>
    <tableColumn id="2" name="end" dataDxfId="8">
      <calculatedColumnFormula>TODAY()+3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select_date_ora" displayName="select_date_ora" ref="R13:S14" totalsRowShown="0" headerRowDxfId="7" headerRowBorderDxfId="6" tableBorderDxfId="5" totalsRowBorderDxfId="4">
  <tableColumns count="2">
    <tableColumn id="1" name="start" dataDxfId="3">
      <calculatedColumnFormula>TODAY()-1</calculatedColumnFormula>
    </tableColumn>
    <tableColumn id="2" name="end" dataDxfId="2">
      <calculatedColumnFormula>TODAY()+2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Personalizzato 9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AAE75F"/>
      </a:accent1>
      <a:accent2>
        <a:srgbClr val="41BAE5"/>
      </a:accent2>
      <a:accent3>
        <a:srgbClr val="F4664E"/>
      </a:accent3>
      <a:accent4>
        <a:srgbClr val="3D8B76"/>
      </a:accent4>
      <a:accent5>
        <a:srgbClr val="FF8F3B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R1:AB28"/>
  <sheetViews>
    <sheetView showGridLines="0" showRowColHeaders="0" tabSelected="1" zoomScale="115" zoomScaleNormal="115" workbookViewId="0">
      <selection activeCell="R107" sqref="R107"/>
    </sheetView>
  </sheetViews>
  <sheetFormatPr defaultRowHeight="15" x14ac:dyDescent="0.25"/>
  <cols>
    <col min="18" max="19" width="12" customWidth="1"/>
    <col min="28" max="28" width="18.28515625" bestFit="1" customWidth="1"/>
  </cols>
  <sheetData>
    <row r="1" spans="18:19" ht="15.75" thickBot="1" x14ac:dyDescent="0.3"/>
    <row r="2" spans="18:19" ht="15.75" thickBot="1" x14ac:dyDescent="0.3">
      <c r="R2" s="9" t="s">
        <v>0</v>
      </c>
      <c r="S2" s="10"/>
    </row>
    <row r="3" spans="18:19" ht="15.75" thickBot="1" x14ac:dyDescent="0.3">
      <c r="R3" s="13" t="s">
        <v>1</v>
      </c>
      <c r="S3" s="14" t="s">
        <v>2</v>
      </c>
    </row>
    <row r="4" spans="18:19" ht="15.75" thickBot="1" x14ac:dyDescent="0.3">
      <c r="R4" s="11">
        <v>43191</v>
      </c>
      <c r="S4" s="11">
        <v>43251</v>
      </c>
    </row>
    <row r="5" spans="18:19" x14ac:dyDescent="0.25">
      <c r="R5" s="12"/>
      <c r="S5" s="12"/>
    </row>
    <row r="6" spans="18:19" ht="15.75" thickBot="1" x14ac:dyDescent="0.3"/>
    <row r="7" spans="18:19" ht="15.75" thickBot="1" x14ac:dyDescent="0.3">
      <c r="R7" s="9" t="s">
        <v>3</v>
      </c>
      <c r="S7" s="10"/>
    </row>
    <row r="8" spans="18:19" ht="15.75" thickBot="1" x14ac:dyDescent="0.3">
      <c r="R8" s="1" t="s">
        <v>1</v>
      </c>
      <c r="S8" s="2" t="s">
        <v>2</v>
      </c>
    </row>
    <row r="9" spans="18:19" x14ac:dyDescent="0.25">
      <c r="R9" s="3">
        <f ca="1">TODAY()-1</f>
        <v>43232</v>
      </c>
      <c r="S9" s="4">
        <f ca="1">TODAY()+3</f>
        <v>43236</v>
      </c>
    </row>
    <row r="11" spans="18:19" ht="15.75" thickBot="1" x14ac:dyDescent="0.3"/>
    <row r="12" spans="18:19" ht="15.75" thickBot="1" x14ac:dyDescent="0.3">
      <c r="R12" s="9" t="s">
        <v>4</v>
      </c>
      <c r="S12" s="10"/>
    </row>
    <row r="13" spans="18:19" ht="15.75" thickBot="1" x14ac:dyDescent="0.3">
      <c r="R13" s="1" t="s">
        <v>1</v>
      </c>
      <c r="S13" s="2" t="s">
        <v>2</v>
      </c>
    </row>
    <row r="14" spans="18:19" x14ac:dyDescent="0.25">
      <c r="R14" s="7">
        <f ca="1">TODAY()-1</f>
        <v>43232</v>
      </c>
      <c r="S14" s="8">
        <f ca="1">TODAY()+2</f>
        <v>43235</v>
      </c>
    </row>
    <row r="24" spans="28:28" x14ac:dyDescent="0.25">
      <c r="AB24" s="5"/>
    </row>
    <row r="25" spans="28:28" x14ac:dyDescent="0.25">
      <c r="AB25" s="5"/>
    </row>
    <row r="26" spans="28:28" x14ac:dyDescent="0.25">
      <c r="AB26" s="5"/>
    </row>
    <row r="27" spans="28:28" x14ac:dyDescent="0.25">
      <c r="AB27" s="5"/>
    </row>
    <row r="28" spans="28:28" x14ac:dyDescent="0.25">
      <c r="AB28" s="6"/>
    </row>
  </sheetData>
  <mergeCells count="3">
    <mergeCell ref="R2:S2"/>
    <mergeCell ref="R7:S7"/>
    <mergeCell ref="R12:S12"/>
  </mergeCells>
  <printOptions horizontalCentered="1" verticalCentered="1"/>
  <pageMargins left="7.874015748031496E-2" right="7.874015748031496E-2" top="7.874015748031496E-2" bottom="0" header="0" footer="0"/>
  <pageSetup paperSize="8" orientation="landscape" r:id="rId1"/>
  <rowBreaks count="2" manualBreakCount="2">
    <brk id="40" max="16383" man="1"/>
    <brk id="79" max="16383" man="1"/>
  </rowBreaks>
  <drawing r:id="rId2"/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Props1.xml><?xml version="1.0" encoding="utf-8"?>
<ds:datastoreItem xmlns:ds="http://schemas.openxmlformats.org/officeDocument/2006/customXml" ds:itemID="{EB9E2AD5-8415-4C06-A1CB-17E215D3CC71}">
  <ds:schemaRefs/>
</ds:datastoreItem>
</file>

<file path=customXml/itemProps2.xml><?xml version="1.0" encoding="utf-8"?>
<ds:datastoreItem xmlns:ds="http://schemas.openxmlformats.org/officeDocument/2006/customXml" ds:itemID="{E1EBB818-4BD2-4E9A-9944-9F6609FA50FA}">
  <ds:schemaRefs/>
</ds:datastoreItem>
</file>

<file path=customXml/itemProps3.xml><?xml version="1.0" encoding="utf-8"?>
<ds:datastoreItem xmlns:ds="http://schemas.openxmlformats.org/officeDocument/2006/customXml" ds:itemID="{1C10ADED-0E3B-4739-AA05-B0459527A18C}">
  <ds:schemaRefs/>
</ds:datastoreItem>
</file>

<file path=customXml/itemProps4.xml><?xml version="1.0" encoding="utf-8"?>
<ds:datastoreItem xmlns:ds="http://schemas.openxmlformats.org/officeDocument/2006/customXml" ds:itemID="{4C7C1078-44C7-4BB5-B889-2756AEBAA5E8}">
  <ds:schemaRefs/>
</ds:datastoreItem>
</file>

<file path=customXml/itemProps5.xml><?xml version="1.0" encoding="utf-8"?>
<ds:datastoreItem xmlns:ds="http://schemas.openxmlformats.org/officeDocument/2006/customXml" ds:itemID="{7109A36D-9ADD-4DF0-83C4-786C35B4AB3A}">
  <ds:schemaRefs/>
</ds:datastoreItem>
</file>

<file path=customXml/itemProps6.xml><?xml version="1.0" encoding="utf-8"?>
<ds:datastoreItem xmlns:ds="http://schemas.openxmlformats.org/officeDocument/2006/customXml" ds:itemID="{4E6AC2C9-2DD2-4340-A9AA-67A2981ABFB0}">
  <ds:schemaRefs/>
</ds:datastoreItem>
</file>

<file path=customXml/itemProps7.xml><?xml version="1.0" encoding="utf-8"?>
<ds:datastoreItem xmlns:ds="http://schemas.openxmlformats.org/officeDocument/2006/customXml" ds:itemID="{A8D67ED2-A2E8-4662-9F1C-A931A124A891}">
  <ds:schemaRefs/>
</ds:datastoreItem>
</file>

<file path=customXml/itemProps8.xml><?xml version="1.0" encoding="utf-8"?>
<ds:datastoreItem xmlns:ds="http://schemas.openxmlformats.org/officeDocument/2006/customXml" ds:itemID="{7C879B17-4361-4686-8975-E9B3BF41E8B2}">
  <ds:schemaRefs/>
</ds:datastoreItem>
</file>

<file path=customXml/itemProps9.xml><?xml version="1.0" encoding="utf-8"?>
<ds:datastoreItem xmlns:ds="http://schemas.openxmlformats.org/officeDocument/2006/customXml" ds:itemID="{25A6AC1E-2A18-4105-84EC-B27A55A4A635}">
  <ds:schemaRefs/>
</ds:datastoreItem>
</file>

<file path=customXml/itemProps10.xml><?xml version="1.0" encoding="utf-8"?>
<ds:datastoreItem xmlns:ds="http://schemas.openxmlformats.org/officeDocument/2006/customXml" ds:itemID="{580B447D-3A04-4B08-BFC1-D9C361EC3F98}">
  <ds:schemaRefs/>
</ds:datastoreItem>
</file>

<file path=customXml/itemProps11.xml><?xml version="1.0" encoding="utf-8"?>
<ds:datastoreItem xmlns:ds="http://schemas.openxmlformats.org/officeDocument/2006/customXml" ds:itemID="{EF3F0232-8287-4033-AAAA-50004100911C}">
  <ds:schemaRefs/>
</ds:datastoreItem>
</file>

<file path=customXml/itemProps12.xml><?xml version="1.0" encoding="utf-8"?>
<ds:datastoreItem xmlns:ds="http://schemas.openxmlformats.org/officeDocument/2006/customXml" ds:itemID="{6C7F8928-60B8-4F0E-B532-B1A348F4F992}">
  <ds:schemaRefs/>
</ds:datastoreItem>
</file>

<file path=customXml/itemProps13.xml><?xml version="1.0" encoding="utf-8"?>
<ds:datastoreItem xmlns:ds="http://schemas.openxmlformats.org/officeDocument/2006/customXml" ds:itemID="{1E754BF3-1E6D-44CB-8E09-6F0BB1DA61BD}">
  <ds:schemaRefs/>
</ds:datastoreItem>
</file>

<file path=customXml/itemProps14.xml><?xml version="1.0" encoding="utf-8"?>
<ds:datastoreItem xmlns:ds="http://schemas.openxmlformats.org/officeDocument/2006/customXml" ds:itemID="{58BEEAE8-EB6D-4DC1-8D47-68F1CE526DCF}">
  <ds:schemaRefs/>
</ds:datastoreItem>
</file>

<file path=customXml/itemProps15.xml><?xml version="1.0" encoding="utf-8"?>
<ds:datastoreItem xmlns:ds="http://schemas.openxmlformats.org/officeDocument/2006/customXml" ds:itemID="{E6D3C9C7-E73E-49BF-BA7E-E9ABBFE59C75}">
  <ds:schemaRefs/>
</ds:datastoreItem>
</file>

<file path=customXml/itemProps16.xml><?xml version="1.0" encoding="utf-8"?>
<ds:datastoreItem xmlns:ds="http://schemas.openxmlformats.org/officeDocument/2006/customXml" ds:itemID="{21237F11-FEA1-4A41-912A-027251862514}">
  <ds:schemaRefs/>
</ds:datastoreItem>
</file>

<file path=customXml/itemProps17.xml><?xml version="1.0" encoding="utf-8"?>
<ds:datastoreItem xmlns:ds="http://schemas.openxmlformats.org/officeDocument/2006/customXml" ds:itemID="{57E80888-876B-413A-95E3-528292ADF479}">
  <ds:schemaRefs/>
</ds:datastoreItem>
</file>

<file path=customXml/itemProps18.xml><?xml version="1.0" encoding="utf-8"?>
<ds:datastoreItem xmlns:ds="http://schemas.openxmlformats.org/officeDocument/2006/customXml" ds:itemID="{FECEAEE7-59F5-4820-B932-864F34900EF4}">
  <ds:schemaRefs/>
</ds:datastoreItem>
</file>

<file path=customXml/itemProps19.xml><?xml version="1.0" encoding="utf-8"?>
<ds:datastoreItem xmlns:ds="http://schemas.openxmlformats.org/officeDocument/2006/customXml" ds:itemID="{2C02AAE6-C2CD-47ED-9DD8-5300147FE244}">
  <ds:schemaRefs/>
</ds:datastoreItem>
</file>

<file path=customXml/itemProps20.xml><?xml version="1.0" encoding="utf-8"?>
<ds:datastoreItem xmlns:ds="http://schemas.openxmlformats.org/officeDocument/2006/customXml" ds:itemID="{8351344E-8BC8-458B-AD86-8C0C0AEE4897}">
  <ds:schemaRefs/>
</ds:datastoreItem>
</file>

<file path=customXml/itemProps21.xml><?xml version="1.0" encoding="utf-8"?>
<ds:datastoreItem xmlns:ds="http://schemas.openxmlformats.org/officeDocument/2006/customXml" ds:itemID="{5A50D90B-EC96-4486-8A33-6F16E419CAB8}">
  <ds:schemaRefs/>
</ds:datastoreItem>
</file>

<file path=customXml/itemProps22.xml><?xml version="1.0" encoding="utf-8"?>
<ds:datastoreItem xmlns:ds="http://schemas.openxmlformats.org/officeDocument/2006/customXml" ds:itemID="{794C3C24-8ABA-43D2-98E6-CC3EF78A6EF4}">
  <ds:schemaRefs/>
</ds:datastoreItem>
</file>

<file path=customXml/itemProps23.xml><?xml version="1.0" encoding="utf-8"?>
<ds:datastoreItem xmlns:ds="http://schemas.openxmlformats.org/officeDocument/2006/customXml" ds:itemID="{3BE41C20-6491-42B0-8F6C-E3BD99F232A6}">
  <ds:schemaRefs/>
</ds:datastoreItem>
</file>

<file path=customXml/itemProps24.xml><?xml version="1.0" encoding="utf-8"?>
<ds:datastoreItem xmlns:ds="http://schemas.openxmlformats.org/officeDocument/2006/customXml" ds:itemID="{992CA173-400F-456F-A9EB-A413E2ECE8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>eni S.p.A.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eni S.p.A.</dc:creator>
  <cp:lastModifiedBy>eni S.p.A.</cp:lastModifiedBy>
  <cp:lastPrinted>2018-04-20T09:30:32Z</cp:lastPrinted>
  <dcterms:created xsi:type="dcterms:W3CDTF">2017-04-19T00:41:33Z</dcterms:created>
  <dcterms:modified xsi:type="dcterms:W3CDTF">2018-05-13T19:44:50Z</dcterms:modified>
</cp:coreProperties>
</file>